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o.sanchez\Project_Repositories\ShortTermDatabase\integrator\data\"/>
    </mc:Choice>
  </mc:AlternateContent>
  <xr:revisionPtr revIDLastSave="0" documentId="13_ncr:1_{746E287D-C26E-44B8-9928-541462831F90}" xr6:coauthVersionLast="47" xr6:coauthVersionMax="47" xr10:uidLastSave="{00000000-0000-0000-0000-000000000000}"/>
  <bookViews>
    <workbookView xWindow="28680" yWindow="-120" windowWidth="29040" windowHeight="15720" xr2:uid="{CE865AEF-163E-4671-98A6-BCA49CD59579}"/>
  </bookViews>
  <sheets>
    <sheet name="AASS" sheetId="4" r:id="rId1"/>
    <sheet name="AASS_V0" sheetId="1" r:id="rId2"/>
    <sheet name="UFLS" sheetId="2" r:id="rId3"/>
    <sheet name="DB" sheetId="3" r:id="rId4"/>
  </sheets>
  <definedNames>
    <definedName name="_xlnm._FilterDatabase" localSheetId="0" hidden="1">AASS!$A$1:$D$130</definedName>
    <definedName name="_xlnm._FilterDatabase" localSheetId="1" hidden="1">AASS_V0!$A$1:$D$134</definedName>
    <definedName name="_xlnm._FilterDatabase" localSheetId="3" hidden="1">DB!$A$2:$C$1234</definedName>
    <definedName name="_xlnm._FilterDatabase" localSheetId="2" hidden="1">UFLS!$A$1:$C$232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" i="2"/>
</calcChain>
</file>

<file path=xl/sharedStrings.xml><?xml version="1.0" encoding="utf-8"?>
<sst xmlns="http://schemas.openxmlformats.org/spreadsheetml/2006/main" count="2002" uniqueCount="1469">
  <si>
    <t xml:space="preserve">plini </t>
  </si>
  <si>
    <t>qlini</t>
  </si>
  <si>
    <t>SS/AA ANG 1.1 y 1.2</t>
  </si>
  <si>
    <t>SS/AA ANG 2.1 y 2.2</t>
  </si>
  <si>
    <t>SS/AA CCH 1.1</t>
  </si>
  <si>
    <t>SS/AA CCH 2.1</t>
  </si>
  <si>
    <t>SS/AA Kelar TG1</t>
  </si>
  <si>
    <t>SS/AA Kelar TG2</t>
  </si>
  <si>
    <t>SS/AA Kelar TV1 y TV2</t>
  </si>
  <si>
    <t>SS/AA Guacolda U1</t>
  </si>
  <si>
    <t>SS/AA Guacolda U2</t>
  </si>
  <si>
    <t>SS/AA Guacolda U3</t>
  </si>
  <si>
    <t>SS/AA Guacolda U4</t>
  </si>
  <si>
    <t>SS/AA Guacolda U5</t>
  </si>
  <si>
    <t>SS/AA Santa María</t>
  </si>
  <si>
    <t>SS/AA CTM1</t>
  </si>
  <si>
    <t>SS/AA CTM2</t>
  </si>
  <si>
    <t>SS/AA CTM3</t>
  </si>
  <si>
    <t>SS/AA Guacolda</t>
  </si>
  <si>
    <t>SS/AA U16 Tocopilla</t>
  </si>
  <si>
    <t>TER TOCOPILLA U16-TG-TV</t>
  </si>
  <si>
    <t>SS/AA TG2 Tocopilla</t>
  </si>
  <si>
    <t>TER TOCOPILLA TG2</t>
  </si>
  <si>
    <t>TER TOCOPILLA TG1</t>
  </si>
  <si>
    <t>TER TOCOPILLA TG3</t>
  </si>
  <si>
    <t>SS/AA TG3 Tocopilla</t>
  </si>
  <si>
    <t>TER ARICA M1AR (U1-U3)</t>
  </si>
  <si>
    <t>SS/AA M1AR 1-2-3</t>
  </si>
  <si>
    <t>SS/AA M2AR 1-2</t>
  </si>
  <si>
    <t>TER ARICA M2AR (U1-U2)</t>
  </si>
  <si>
    <t>SS/AA NTO2</t>
  </si>
  <si>
    <t>SS/AA NTO1</t>
  </si>
  <si>
    <t>TER NORGENER U2</t>
  </si>
  <si>
    <t>TER NORGENER U1</t>
  </si>
  <si>
    <t>TER COCHRANE U2</t>
  </si>
  <si>
    <t>TER COCHRANE U1</t>
  </si>
  <si>
    <t>SS/AA IEM 1 y 2</t>
  </si>
  <si>
    <t>TER IEM U1</t>
  </si>
  <si>
    <t>TER MEJILLONES CTM3-TG</t>
  </si>
  <si>
    <t>TER ANGAMOS U1</t>
  </si>
  <si>
    <t>TER ANGAMOS U2</t>
  </si>
  <si>
    <t>TER KELAR CC1-TG1</t>
  </si>
  <si>
    <t>TER KELAR CC1-TG2</t>
  </si>
  <si>
    <t>TER KELAR CC1-TV</t>
  </si>
  <si>
    <t>SS/AA TG1A Atacama</t>
  </si>
  <si>
    <t>TER ATACAMA CC1-TG1</t>
  </si>
  <si>
    <t>TER ATACAMA CC1-TG2</t>
  </si>
  <si>
    <t>SS/AA TG1B Atacama</t>
  </si>
  <si>
    <t>SS/AA TG2A Atacama</t>
  </si>
  <si>
    <t>TER ATACAMA CC2-TG1</t>
  </si>
  <si>
    <t>TER ATACAMA CC2-TG2</t>
  </si>
  <si>
    <t>SS/AA TG2B Atacama</t>
  </si>
  <si>
    <t>TER ANDINA U1</t>
  </si>
  <si>
    <t>SS/AA CTA</t>
  </si>
  <si>
    <t>TER MEJILLONES CTM1</t>
  </si>
  <si>
    <t>TER MEJILLONES CTM2</t>
  </si>
  <si>
    <t>TER HORNITOS U1</t>
  </si>
  <si>
    <t>SS/AA CTH</t>
  </si>
  <si>
    <t>SS/AA CSP Cerro Dominador</t>
  </si>
  <si>
    <t>CSP CERRO DOMINADOR</t>
  </si>
  <si>
    <t>SS/AA PFV Sol del Desierto</t>
  </si>
  <si>
    <t>PFV SOL DEL DESIERTO</t>
  </si>
  <si>
    <t>I. Castilla+SS/AA Castilla 110kV</t>
  </si>
  <si>
    <t>I. Pto. Chungo + SS/AA Los Vilos 110 kV</t>
  </si>
  <si>
    <t>SS/AA Angostura G1</t>
  </si>
  <si>
    <t>SS/AA Angostura G2</t>
  </si>
  <si>
    <t>SS/AA BESS Arica</t>
  </si>
  <si>
    <t>SS/AA BESS Nueva Imperial</t>
  </si>
  <si>
    <t>SS/AA CD Arica</t>
  </si>
  <si>
    <t>SS/AA CD Tamaya</t>
  </si>
  <si>
    <t>SS/AA Canutillar G1</t>
  </si>
  <si>
    <t>SS/AA Canutillar G2</t>
  </si>
  <si>
    <t>SS/AA HE Colbún G1 13.8 kV</t>
  </si>
  <si>
    <t>SS/AA HE Colbún G2 13.8 kV</t>
  </si>
  <si>
    <t>SS/AA HE Rapel U5</t>
  </si>
  <si>
    <t>SS/AA HP Abanico</t>
  </si>
  <si>
    <t>SS/AA HP Alfalfal U1</t>
  </si>
  <si>
    <t>SS/AA HP BLANCO U1</t>
  </si>
  <si>
    <t>SS/AA HP Curillinque</t>
  </si>
  <si>
    <t>SS/AA HP Guayacán A.Maipo</t>
  </si>
  <si>
    <t>SS/AA HP Isla</t>
  </si>
  <si>
    <t>SS/AA HP Maitenes</t>
  </si>
  <si>
    <t>SS/AA HP Pilmaiquen 1-2-3</t>
  </si>
  <si>
    <t>SS/AA HP Pilmaiquen 4-5</t>
  </si>
  <si>
    <t>SS/AA HP Pullinque G1</t>
  </si>
  <si>
    <t>SS/AA HP Queltehues</t>
  </si>
  <si>
    <t>SS/AA PE Duqueco</t>
  </si>
  <si>
    <t>SS/AA PE La Estrella</t>
  </si>
  <si>
    <t>SS/AA PE Mesamavida</t>
  </si>
  <si>
    <t>SS/AA PE Negrete</t>
  </si>
  <si>
    <t>SS/AA PE Puelche Sur</t>
  </si>
  <si>
    <t>SS/AA PE VDLV 1</t>
  </si>
  <si>
    <t>SS/AA PFV CEME</t>
  </si>
  <si>
    <t>SS/AA PFV LLdeLLampos1</t>
  </si>
  <si>
    <t>SS/AA PFV LLdeLLampos2</t>
  </si>
  <si>
    <t>SS/AA PFV Maria Elena</t>
  </si>
  <si>
    <t>SS/AA PFV PMG Teno Solar</t>
  </si>
  <si>
    <t>SS/AA PFV Taira</t>
  </si>
  <si>
    <t>SS/AA PFV Tamarico</t>
  </si>
  <si>
    <t>SS/AA PFV Valle Escondido</t>
  </si>
  <si>
    <t>SS/AA PFV WILLKA</t>
  </si>
  <si>
    <t>SS/AA S/E A. Jahuel</t>
  </si>
  <si>
    <t>SS/AA S/E Cardones</t>
  </si>
  <si>
    <t>SS/AA S/E Carrera Pinto</t>
  </si>
  <si>
    <t>SS/AA S/E Cautín</t>
  </si>
  <si>
    <t>SS/AA S/E Cerro Navia</t>
  </si>
  <si>
    <t>SS/AA S/E Chagual</t>
  </si>
  <si>
    <t>SS/AA S/E Charrúa TR4</t>
  </si>
  <si>
    <t>SS/AA S/E Combarbalá 23 kV</t>
  </si>
  <si>
    <t>SS/AA S/E Concepción 220 kV</t>
  </si>
  <si>
    <t>SS/AA S/E Crucero</t>
  </si>
  <si>
    <t>SS/AA S/E Diego de Almagro</t>
  </si>
  <si>
    <t>SS/AA S/E El Cobre</t>
  </si>
  <si>
    <t>SS/AA S/E El Toro</t>
  </si>
  <si>
    <t>SS/AA S/E Encuentro</t>
  </si>
  <si>
    <t>SS/AA S/E Esmeralda</t>
  </si>
  <si>
    <t>SS/AA S/E Fopaco</t>
  </si>
  <si>
    <t>SS/AA S/E Guacolda</t>
  </si>
  <si>
    <t>SS/AA S/E Hualpén 220 kV</t>
  </si>
  <si>
    <t>SS/AA S/E Itahue</t>
  </si>
  <si>
    <t>SS/AA S/E Las Palmas</t>
  </si>
  <si>
    <t>SS/AA S/E Llanos Blancos 23 kV 1</t>
  </si>
  <si>
    <t>SS/AA S/E Llanos Blancos 23 kV 2</t>
  </si>
  <si>
    <t>SS/AA S/E Los Notros</t>
  </si>
  <si>
    <t>SS/AA S/E Maitencillo</t>
  </si>
  <si>
    <t>SS/AA S/E Pan de Azúcar</t>
  </si>
  <si>
    <t>SS/AA S/E Polpaico</t>
  </si>
  <si>
    <t>SS/AA S/E Quillota</t>
  </si>
  <si>
    <t>SS/AA S/E Sauzal</t>
  </si>
  <si>
    <t>SS/AA S/E Temuco</t>
  </si>
  <si>
    <t>SS/AA S/E Yungay</t>
  </si>
  <si>
    <t>SS/AA TER Campiche</t>
  </si>
  <si>
    <t>SS/AA TER Chagual U1</t>
  </si>
  <si>
    <t>SS/AA TER Chagual U2</t>
  </si>
  <si>
    <t>SS/AA TER Chagual U3</t>
  </si>
  <si>
    <t>SS/AA TER Chagual U4</t>
  </si>
  <si>
    <t>SS/AA TER Esperanza U3</t>
  </si>
  <si>
    <t>SS/AA TER Lautaro 1</t>
  </si>
  <si>
    <t>SS/AA TER Lautaro 2</t>
  </si>
  <si>
    <t>SS/AA TER Los Espinos</t>
  </si>
  <si>
    <t>SS/AA TER Los Guindos I</t>
  </si>
  <si>
    <t>SS/AA TER Los Guindos II</t>
  </si>
  <si>
    <t>SS/AA TER Nehuenco CC1-TV</t>
  </si>
  <si>
    <t>SS/AA TER Nueva Ventanas</t>
  </si>
  <si>
    <t>SS/AA TER Olivos</t>
  </si>
  <si>
    <t>SS/AA TER Pajonales</t>
  </si>
  <si>
    <t>SS/AA TER San Isidro CC1-TV</t>
  </si>
  <si>
    <t>SS/AA TER San Lorenzo</t>
  </si>
  <si>
    <t>SS/AA TER Santa María</t>
  </si>
  <si>
    <t>SS/AA TER Teno Gas</t>
  </si>
  <si>
    <t>SS/AA TER Tierra Amarilla</t>
  </si>
  <si>
    <t>SS/AA TG11 Salta</t>
  </si>
  <si>
    <t>SS/AA TG12 Salta</t>
  </si>
  <si>
    <t>SS/AA Ter Peñon</t>
  </si>
  <si>
    <t>SS/AA U14 Tocopilla</t>
  </si>
  <si>
    <t>SS/AA U15 Tocopilla</t>
  </si>
  <si>
    <t>TER GUACOLDA U1</t>
  </si>
  <si>
    <t>TER GUACOLDA U2</t>
  </si>
  <si>
    <t>TER GUACOLDA U3</t>
  </si>
  <si>
    <t>TER GUACOLDA U4</t>
  </si>
  <si>
    <t>TER GUACOLDA U5</t>
  </si>
  <si>
    <t>HP BLANCO U1</t>
  </si>
  <si>
    <t>TER CAMPICHE U1</t>
  </si>
  <si>
    <t>TER NUEVA VENTANAS U1</t>
  </si>
  <si>
    <t>HE COLBUN U1</t>
  </si>
  <si>
    <t>HE COLBUN U2</t>
  </si>
  <si>
    <t>HE RAPEL U5</t>
  </si>
  <si>
    <t>TER SAN ISIDRO CC1-TV</t>
  </si>
  <si>
    <t>TER NEHUENCO CC1-TV</t>
  </si>
  <si>
    <t>HP ISLA U1</t>
  </si>
  <si>
    <t>TER TENO GAS (U1-U26)</t>
  </si>
  <si>
    <t>TER SALTA TG11</t>
  </si>
  <si>
    <t>TER SALTA TG12</t>
  </si>
  <si>
    <t>N/A</t>
  </si>
  <si>
    <t>TER SANTA MARIA U1</t>
  </si>
  <si>
    <t>TER LOS GUINDOS U2</t>
  </si>
  <si>
    <t>TER LOS GUINDOS U1</t>
  </si>
  <si>
    <t>PE NEGRETE</t>
  </si>
  <si>
    <t>HP ABANICO U6</t>
  </si>
  <si>
    <t>HE ANGOSTURA U1</t>
  </si>
  <si>
    <t>HE ANGOSTURA U2</t>
  </si>
  <si>
    <t>HE CANUTILLAR U1</t>
  </si>
  <si>
    <t>HE CANUTILLAR U2</t>
  </si>
  <si>
    <t>TER LAUTARO U2</t>
  </si>
  <si>
    <t>TER LAUTARO U1</t>
  </si>
  <si>
    <t>HP PILMAIQUEN U5</t>
  </si>
  <si>
    <t>HP PILMAIQUEN U1</t>
  </si>
  <si>
    <t>BESS ARICA</t>
  </si>
  <si>
    <t>TER ARICA GMAR (U1-U4)</t>
  </si>
  <si>
    <t>BESS NUEVA IMPERIAL</t>
  </si>
  <si>
    <t>TER CR CHAGUAL U1</t>
  </si>
  <si>
    <t>TER CR CHAGUAL U2</t>
  </si>
  <si>
    <t>TER CR CHAGUAL U3</t>
  </si>
  <si>
    <t>TER CR CHAGUAL U4</t>
  </si>
  <si>
    <t>HP ALFALFAL U1</t>
  </si>
  <si>
    <t>HP MAITENES (U1-U3)</t>
  </si>
  <si>
    <t>HP CURILLINQUE U1</t>
  </si>
  <si>
    <t>HP GUAYACAN (U1-U2)</t>
  </si>
  <si>
    <t>HP PULLINQUE U1</t>
  </si>
  <si>
    <t>SS/AA HP Pullinque G2</t>
  </si>
  <si>
    <t>HP PULLINQUE U3</t>
  </si>
  <si>
    <t>HP QUELTEHUES U1</t>
  </si>
  <si>
    <t>PE LOMAS DE DUQUECO</t>
  </si>
  <si>
    <t>PE MESAMAVIDA</t>
  </si>
  <si>
    <t>PE LA ESTRELLA</t>
  </si>
  <si>
    <t>TER CARDONES U1</t>
  </si>
  <si>
    <t>TER EL PEÑON (U1-U50)_N1</t>
  </si>
  <si>
    <t>PE PUELCHE SUR</t>
  </si>
  <si>
    <t>PFV MARIA ELENA</t>
  </si>
  <si>
    <t>PFV VALLE ESCONDIDO</t>
  </si>
  <si>
    <t>TER ESPERANZA U3</t>
  </si>
  <si>
    <t>PE VALLE DE LOS VIENTOS (U1-U45)_A</t>
  </si>
  <si>
    <t>PE VALLE DE LOS VIENTOS (U1-U45)_B</t>
  </si>
  <si>
    <t>PFV CEME</t>
  </si>
  <si>
    <t>PFV LLANO DE LLAMPOS</t>
  </si>
  <si>
    <t>PFV PMG TENO SOLAR</t>
  </si>
  <si>
    <t>PFV TAIRA U1</t>
  </si>
  <si>
    <t>PFV TAMARICO</t>
  </si>
  <si>
    <t>PFV WILLKA</t>
  </si>
  <si>
    <t>TER LOS ESPINOS (U1-U23)_N1</t>
  </si>
  <si>
    <t>TER OLIVOS (U1-U60)_N1</t>
  </si>
  <si>
    <t>TER CR PAJONALES (U1-U56)_N1</t>
  </si>
  <si>
    <t>TER SAN LORENZO DE D. DE ALMAGRO U1</t>
  </si>
  <si>
    <t>SS/AA S/E San Javier 23 kV</t>
  </si>
  <si>
    <t>TER CR COMBARBALA PH-12</t>
  </si>
  <si>
    <t>TER CR SAN JAVIER I</t>
  </si>
  <si>
    <t>SS/AA PE VDLV 2</t>
  </si>
  <si>
    <t>S/E</t>
  </si>
  <si>
    <t>SS/AA TG1 Tocopilla</t>
  </si>
  <si>
    <t>SS/AA PE Malleco Norte</t>
  </si>
  <si>
    <t>SS/AA PE Malleco Sur</t>
  </si>
  <si>
    <t>PE MALLECO NORTE</t>
  </si>
  <si>
    <t>PE MALLECO SUR</t>
  </si>
  <si>
    <t>Otros valores</t>
  </si>
  <si>
    <t>R. Cordova 1</t>
  </si>
  <si>
    <t>R. Cordova 3</t>
  </si>
  <si>
    <t>I. Aconcagua 66 kV-Planta Filtros</t>
  </si>
  <si>
    <t>R. Alameda 1 66 kV</t>
  </si>
  <si>
    <t>R. Altamirano 1</t>
  </si>
  <si>
    <t>R. Altamirano 2</t>
  </si>
  <si>
    <t>R. Alto del Carmen 110 KV</t>
  </si>
  <si>
    <t>I. Andina 1</t>
  </si>
  <si>
    <t>R. Apoquindo 1</t>
  </si>
  <si>
    <t>R. Apoquindo 3</t>
  </si>
  <si>
    <t>I. Arauco</t>
  </si>
  <si>
    <t>I. C. BioBio 66 kV</t>
  </si>
  <si>
    <t>R. Bosquemar 1 110 kV</t>
  </si>
  <si>
    <t>R. Buin 66 kV 1 Y 2</t>
  </si>
  <si>
    <t>I. C. Valdivia</t>
  </si>
  <si>
    <t>I. CAP 1</t>
  </si>
  <si>
    <t>I. CMPC Papeles 110 kV 1</t>
  </si>
  <si>
    <t>I. CNN 220 KV</t>
  </si>
  <si>
    <t>R. Cabildo 1</t>
  </si>
  <si>
    <t>R. Cabrero 1 66 kV</t>
  </si>
  <si>
    <t>R. Cachapoal 66 kV</t>
  </si>
  <si>
    <t>I. La Calera 110 kV</t>
  </si>
  <si>
    <t>R. Calle Calle 66 kV</t>
  </si>
  <si>
    <t>R. Casablanca 1 66 kV</t>
  </si>
  <si>
    <t>R. Casas Viejas 110 kV</t>
  </si>
  <si>
    <t>I. Caserones 1 220 KV</t>
  </si>
  <si>
    <t>R. Cauquenes 66 kV 3</t>
  </si>
  <si>
    <t>I. Cemento Melon 60 kV 1</t>
  </si>
  <si>
    <t>R. Cerrillos 110 kV</t>
  </si>
  <si>
    <t>I. Chagres 1 110 kV</t>
  </si>
  <si>
    <t>R. Chiguayante 1 66 kV</t>
  </si>
  <si>
    <t>R. Chillán 1 66 kV</t>
  </si>
  <si>
    <t>I. Cholguán 66 kV</t>
  </si>
  <si>
    <t>R. Cholguán 220 kV</t>
  </si>
  <si>
    <t>I. Chumpullo CMPC</t>
  </si>
  <si>
    <t>R. La Cisterna 1</t>
  </si>
  <si>
    <t>R. La Cisterna 2</t>
  </si>
  <si>
    <t>R. La Cisterna 3</t>
  </si>
  <si>
    <t>R. Club Hípico 1</t>
  </si>
  <si>
    <t>R. Club Hípico 4 y 2</t>
  </si>
  <si>
    <t>R. Club Hípico 3</t>
  </si>
  <si>
    <t>R. Cocharcas 66 kV 1</t>
  </si>
  <si>
    <t>R. Con Con 110 kV</t>
  </si>
  <si>
    <t>R. Andalien 1 66 kV</t>
  </si>
  <si>
    <t>R. Coronel 66 kV 1</t>
  </si>
  <si>
    <t>R. Curicó CEC 1 66 kV</t>
  </si>
  <si>
    <t>R. Curicó CGE 1 66 kV</t>
  </si>
  <si>
    <t>I. Dos Amigos 110 kV</t>
  </si>
  <si>
    <t>I. Ejercito 66 kV</t>
  </si>
  <si>
    <t>I. El Avellano</t>
  </si>
  <si>
    <t>R. El Monte 66 kV</t>
  </si>
  <si>
    <t>I. El Romeral (CMP) 1</t>
  </si>
  <si>
    <t>I. El Salvador 110 KV 1</t>
  </si>
  <si>
    <t>I. Enami 110 kV 1</t>
  </si>
  <si>
    <t>I. Graneros 66 kV</t>
  </si>
  <si>
    <t>I. Huasco 110 KV 1</t>
  </si>
  <si>
    <t>R. Illapel 110 kV</t>
  </si>
  <si>
    <t>I. Inchalam 13.8 kV</t>
  </si>
  <si>
    <t>I. Indura 66 kV</t>
  </si>
  <si>
    <t>I. Inforsa 1</t>
  </si>
  <si>
    <t>I. Minera La Candelaria 1</t>
  </si>
  <si>
    <t>I. La Coipa 220 KV 1</t>
  </si>
  <si>
    <t>R. Pintana 1</t>
  </si>
  <si>
    <t>R. La Reina 2</t>
  </si>
  <si>
    <t>R. La Reina 4</t>
  </si>
  <si>
    <t>R. La Ronda 66 kV</t>
  </si>
  <si>
    <t>I. Las Arañas</t>
  </si>
  <si>
    <t>R. Las Balandras 1 66 kV</t>
  </si>
  <si>
    <t>I. Las Luces 110 kV</t>
  </si>
  <si>
    <t>R. Las Vegas</t>
  </si>
  <si>
    <t>I. Latorre 66 kV</t>
  </si>
  <si>
    <t>R. Licantén 66 kV</t>
  </si>
  <si>
    <t>R. Linares 66 kV</t>
  </si>
  <si>
    <t>I. Lo Miranda 66 kV</t>
  </si>
  <si>
    <t>R. Lo Valledor 1</t>
  </si>
  <si>
    <t>R. Los Loros 110 kV</t>
  </si>
  <si>
    <t>I. Los Piuquenes 220 kV 1</t>
  </si>
  <si>
    <t>R. Los Angeles 66 kV 1</t>
  </si>
  <si>
    <t>R. Lota (Frontel) 66 kV 1</t>
  </si>
  <si>
    <t>R. Macul 3</t>
  </si>
  <si>
    <t>R. I. Maipo 1 66 kV</t>
  </si>
  <si>
    <t>R. Maipu 1</t>
  </si>
  <si>
    <t>R. Maipu 2</t>
  </si>
  <si>
    <t>R. Maipu 4</t>
  </si>
  <si>
    <t>I. Manso de Velasco 66 kV</t>
  </si>
  <si>
    <t>I. Manto Verde D. Almagro 110 KV 1</t>
  </si>
  <si>
    <t>I. Mapal 154 kV</t>
  </si>
  <si>
    <t>I. I. Maipo 66 kV</t>
  </si>
  <si>
    <t>R. Marga Marga 1 110 kV</t>
  </si>
  <si>
    <t>R. Marquesa 66 kV</t>
  </si>
  <si>
    <t>R. Melipilla 1 110 kV</t>
  </si>
  <si>
    <t>I. Metro 1</t>
  </si>
  <si>
    <t>I. Min.Carmen de Andacollo 110 kV</t>
  </si>
  <si>
    <t>I. Minera Valle Central 4.16 kV 1</t>
  </si>
  <si>
    <t>I. Minero-El Cobre 1 110 kV</t>
  </si>
  <si>
    <t>R. Miraflores 1 110 kV</t>
  </si>
  <si>
    <t>I. Moly-COP + Imsa 13.8 kV</t>
  </si>
  <si>
    <t>R. Negrete 23 kV</t>
  </si>
  <si>
    <t>I. Nueva Aldea 15 kV</t>
  </si>
  <si>
    <t>R. Ochagavia 1</t>
  </si>
  <si>
    <t>R. Osorno 1 66 kV</t>
  </si>
  <si>
    <t>R. Ovalle 1 66 kV</t>
  </si>
  <si>
    <t>I. Petrodow 154 kV</t>
  </si>
  <si>
    <t>R. Padre Las Casas 66 kV 1</t>
  </si>
  <si>
    <t>I. Paipote 110 KV 1</t>
  </si>
  <si>
    <t>R. Panamericana 1</t>
  </si>
  <si>
    <t>R. Paniahue 66 kV</t>
  </si>
  <si>
    <t>I. Papeles y Bosques BioBio 66 kV 1</t>
  </si>
  <si>
    <t>I. Perales 66 kV</t>
  </si>
  <si>
    <t>I. Petrox 66 kV</t>
  </si>
  <si>
    <t>R. Peñablanca 110 kV</t>
  </si>
  <si>
    <t>R. Picarte 1 66 kV</t>
  </si>
  <si>
    <t>R. Pid Pid 110 kV</t>
  </si>
  <si>
    <t>I. Plantas 110 kV</t>
  </si>
  <si>
    <t>R. Playa Ancha 110 kV 1</t>
  </si>
  <si>
    <t>I. Polpaico 1</t>
  </si>
  <si>
    <t>I. Potrerillos 110 KV 1</t>
  </si>
  <si>
    <t>I. Procart 220 kV 1</t>
  </si>
  <si>
    <t>R. Pte. Alto 1</t>
  </si>
  <si>
    <t>R. Puert Montt 66 kV (T22)</t>
  </si>
  <si>
    <t>R. Pucón</t>
  </si>
  <si>
    <t>R. Puerto Varas 1 66 kV</t>
  </si>
  <si>
    <t>R. Puerto Varas 2 66 kV</t>
  </si>
  <si>
    <t>R. Pumahue 1 66 kV</t>
  </si>
  <si>
    <t>R. Quereo 110 kV</t>
  </si>
  <si>
    <t>R. Quilpue 1 110 kV</t>
  </si>
  <si>
    <t>R. Quilpue 2 110 kV</t>
  </si>
  <si>
    <t>R. Quinquimo 110 kV</t>
  </si>
  <si>
    <t>R. Rauquén 66 kV 1</t>
  </si>
  <si>
    <t>R. Recoleta 1</t>
  </si>
  <si>
    <t>I. Refugio 1</t>
  </si>
  <si>
    <t>R. Retiro 66 kV</t>
  </si>
  <si>
    <t>I. Reñaca 110 kV</t>
  </si>
  <si>
    <t>I. San Antonio 110 kV 1</t>
  </si>
  <si>
    <t>R. San Bernardo 3</t>
  </si>
  <si>
    <t>R. San Felipe 110 kV</t>
  </si>
  <si>
    <t>R. San Joaquin 1</t>
  </si>
  <si>
    <t>R. San Joaquin 2</t>
  </si>
  <si>
    <t>R. San Joaquin 3</t>
  </si>
  <si>
    <t>R. San Jose 1</t>
  </si>
  <si>
    <t>R. San Jose 2</t>
  </si>
  <si>
    <t>R. San Jose 3</t>
  </si>
  <si>
    <t>R. San Pedro 1 110 kV</t>
  </si>
  <si>
    <t>R. San Pedro 1 66 kV</t>
  </si>
  <si>
    <t>R. San Rafael 110 kV 1</t>
  </si>
  <si>
    <t>R. San Sebastian 66 kV</t>
  </si>
  <si>
    <t>R. Santa Elena 2</t>
  </si>
  <si>
    <t>R. Santa Elena 3</t>
  </si>
  <si>
    <t>R. Santa Marta 1</t>
  </si>
  <si>
    <t>R. Santa Rosa Sur 1</t>
  </si>
  <si>
    <t>R. Santa Rosa Sur 2</t>
  </si>
  <si>
    <t>R. Santa Rosa Sur 3</t>
  </si>
  <si>
    <t>R. Talca 2 66 kV</t>
  </si>
  <si>
    <t>R. Talca 1 66 kV</t>
  </si>
  <si>
    <t>R. Talcahuano 66 kV</t>
  </si>
  <si>
    <t>R. Temuco (Frontel)</t>
  </si>
  <si>
    <t>R. Tres Esquinas 1 66 kV</t>
  </si>
  <si>
    <t>R. Vallenar 1</t>
  </si>
  <si>
    <t>R. Vicuña 110 kV</t>
  </si>
  <si>
    <t>R. Villarica 66 kV</t>
  </si>
  <si>
    <t>R. Vitacura 1</t>
  </si>
  <si>
    <t>I. Viñales 23 kV</t>
  </si>
  <si>
    <t>R. Alhué 66 kV</t>
  </si>
  <si>
    <t>R. Andes 1</t>
  </si>
  <si>
    <t>R. Andes 2</t>
  </si>
  <si>
    <t>I. Andina 2</t>
  </si>
  <si>
    <t>R. Batuco 2</t>
  </si>
  <si>
    <t>R. Batuco 3</t>
  </si>
  <si>
    <t>R. Brasil 2</t>
  </si>
  <si>
    <t>I. Cemento Melon 60 kV 2</t>
  </si>
  <si>
    <t>R. Chacabuco 1</t>
  </si>
  <si>
    <t>R. Chacabuco 2</t>
  </si>
  <si>
    <t>R. Chacabuco 3</t>
  </si>
  <si>
    <t>R. Chumaquito 66 kV</t>
  </si>
  <si>
    <t>R. Colchagua 66 kV</t>
  </si>
  <si>
    <t>R. Curacaví 2</t>
  </si>
  <si>
    <t>R. Curacaví 3</t>
  </si>
  <si>
    <t>I. El Cobre 110 kV 1</t>
  </si>
  <si>
    <t>I. El Manzano 1</t>
  </si>
  <si>
    <t>R. El Manzano 1 66 kV</t>
  </si>
  <si>
    <t>R. El Manzano 2 66 kV</t>
  </si>
  <si>
    <t>R. El Manzano 4</t>
  </si>
  <si>
    <t>R. El Peumo 66 kV</t>
  </si>
  <si>
    <t>R. Fatima 1 66 kV</t>
  </si>
  <si>
    <t>R. Fatima 2 66 kV</t>
  </si>
  <si>
    <t>R. I. Maipo 2 66 kV</t>
  </si>
  <si>
    <t>R. La Manga 66 kV</t>
  </si>
  <si>
    <t>R. Las Acacias 1</t>
  </si>
  <si>
    <t>R. Las Cabras 1 66 kV</t>
  </si>
  <si>
    <t>R. Las Cabras 2 66 kV</t>
  </si>
  <si>
    <t>R. Lo Boza 1</t>
  </si>
  <si>
    <t>R. Lo Boza 2</t>
  </si>
  <si>
    <t>R. Lo Boza 3</t>
  </si>
  <si>
    <t>R. Lo Boza 4</t>
  </si>
  <si>
    <t>R. Lo Valledor 2</t>
  </si>
  <si>
    <t>R. Los Dominicos 3</t>
  </si>
  <si>
    <t>I. Maitenes 220 kV 1</t>
  </si>
  <si>
    <t>R. Malloco 1</t>
  </si>
  <si>
    <t>R. Malloco 3</t>
  </si>
  <si>
    <t>R. Malloco 4</t>
  </si>
  <si>
    <t>R. Pajaritos 1</t>
  </si>
  <si>
    <t>R. Pajaritos 2</t>
  </si>
  <si>
    <t>R. Pajaritos 3</t>
  </si>
  <si>
    <t>R. Pudahuel 1</t>
  </si>
  <si>
    <t>R. Pudahuel 2</t>
  </si>
  <si>
    <t>R. Quilicura 1</t>
  </si>
  <si>
    <t>R. Quilicura 2</t>
  </si>
  <si>
    <t>R. Quilicura 3</t>
  </si>
  <si>
    <t>R. Quilicura 4</t>
  </si>
  <si>
    <t>I. Quintero 110 kV 1</t>
  </si>
  <si>
    <t>I. Quintero 110 kV 2</t>
  </si>
  <si>
    <t>R. Rengo 66 kV</t>
  </si>
  <si>
    <t>I. Rosario 66 kV</t>
  </si>
  <si>
    <t>R. San Cristobal 1</t>
  </si>
  <si>
    <t>R. San Cristobal 2</t>
  </si>
  <si>
    <t>I. San Francisco 66 kV</t>
  </si>
  <si>
    <t>R. San Joaquin 4</t>
  </si>
  <si>
    <t>R. San Jose 4</t>
  </si>
  <si>
    <t>R. San Pablo 1</t>
  </si>
  <si>
    <t>R. San Pablo 2</t>
  </si>
  <si>
    <t>R. San Pedro 2 110 kV</t>
  </si>
  <si>
    <t>I. San Vicente T.T. 66 kV</t>
  </si>
  <si>
    <t>R. Santa Marta 2</t>
  </si>
  <si>
    <t>R. Santa Marta 3</t>
  </si>
  <si>
    <t>R. Santa Raquel 1</t>
  </si>
  <si>
    <t>R. Santa Raquel 2</t>
  </si>
  <si>
    <t>R. Santa Raquel 4</t>
  </si>
  <si>
    <t>I. Torquemada 110 kV 1</t>
  </si>
  <si>
    <t>I. Torquemada 110 kV 2</t>
  </si>
  <si>
    <t>R. Vitacura 4</t>
  </si>
  <si>
    <t>Name</t>
  </si>
  <si>
    <t>Act.Pow.</t>
  </si>
  <si>
    <t>React.Pow.</t>
  </si>
  <si>
    <t>MW</t>
  </si>
  <si>
    <t>Mvar</t>
  </si>
  <si>
    <t>Autoconsumo CSP Cerro Dominador</t>
  </si>
  <si>
    <t>C. AFC Minera - C. DSM Minera</t>
  </si>
  <si>
    <t>C. Afta Inacesa-La Negra (ELECDA)</t>
  </si>
  <si>
    <t>C. Afta La Negra</t>
  </si>
  <si>
    <t>C. Afta. Desalant I</t>
  </si>
  <si>
    <t>C. Afta. Desalant II UFR</t>
  </si>
  <si>
    <t>C. Afta. SQM El Salar EA - Litio EDELNOR</t>
  </si>
  <si>
    <t>C. Aguas Blancas UFR-Aguas Blancas</t>
  </si>
  <si>
    <t>C. Agunsa/Interacid/Collahuasi-Puerto-SA</t>
  </si>
  <si>
    <t>C. Algorta UFR</t>
  </si>
  <si>
    <t>C. Antucoya 110 kV</t>
  </si>
  <si>
    <t>C. Barriles</t>
  </si>
  <si>
    <t>C. Blue Dolphin</t>
  </si>
  <si>
    <t>C. Booster N°1</t>
  </si>
  <si>
    <t>C. Booster N°2</t>
  </si>
  <si>
    <t>C. Calama Santa Margarita</t>
  </si>
  <si>
    <t>C. Cerro Colorado Mamiña</t>
  </si>
  <si>
    <t>C. Cerro Colorado UFR</t>
  </si>
  <si>
    <t>C. Chuquicamata Chamy</t>
  </si>
  <si>
    <t>C. Chuquicamata K1 1</t>
  </si>
  <si>
    <t>C. Chuquicamata K1 2</t>
  </si>
  <si>
    <t>C. Chuquicamata K1 3</t>
  </si>
  <si>
    <t>C. Chuquicamata Km-6 1</t>
  </si>
  <si>
    <t>C. Chuquicamata Km-6 2</t>
  </si>
  <si>
    <t>C. Chuquicamata Km-6 3</t>
  </si>
  <si>
    <t>C. Chuquicamata Km-6 4</t>
  </si>
  <si>
    <t>C. Chuquicamata S/E 10 1</t>
  </si>
  <si>
    <t>C. Chuquicamata S/E 10 2 UFR</t>
  </si>
  <si>
    <t>C. Chuquicamata S/E 10 3</t>
  </si>
  <si>
    <t>C. Chuquicamata S/E 10 4</t>
  </si>
  <si>
    <t>C. Chuquicamata S/E 10 5</t>
  </si>
  <si>
    <t>C. Chuquicamata S/E 10 6</t>
  </si>
  <si>
    <t>C. Chuquicamata S/E 10 7</t>
  </si>
  <si>
    <t>C. Chuquicamata S/E 10A 1</t>
  </si>
  <si>
    <t>C. Chuquicamata S/E 10A 2 UFR</t>
  </si>
  <si>
    <t>C. Chuquicamata S/E 10A 3</t>
  </si>
  <si>
    <t>C. Chuquicamata S/E 10A 4</t>
  </si>
  <si>
    <t>C. Chuquicamata S/E 10A 5</t>
  </si>
  <si>
    <t>C. Chuquicamata S/E 10A 6</t>
  </si>
  <si>
    <t>C. Chuquicamata S/E A 1</t>
  </si>
  <si>
    <t>C. Chuquicamata S/E A 2 UFR</t>
  </si>
  <si>
    <t>C. Chuquicamata S/E A 3</t>
  </si>
  <si>
    <t>C. Chuquicamata S/E A 4</t>
  </si>
  <si>
    <t>C. Chuquicamata S/E A 5</t>
  </si>
  <si>
    <t>C. Chuquicamata S/E A 6</t>
  </si>
  <si>
    <t>C. Chuquicamata S/E A 7</t>
  </si>
  <si>
    <t>C. Chuquicamata S/E A 8</t>
  </si>
  <si>
    <t>C. Chuquicamata S/E A 9</t>
  </si>
  <si>
    <t>C. Chuquicamata Salar</t>
  </si>
  <si>
    <t>C. Chuquicamata Salar #1y#2</t>
  </si>
  <si>
    <t>C. Chuquicamata Sopladores</t>
  </si>
  <si>
    <t>C. Chuquicamata Sopladores UFR</t>
  </si>
  <si>
    <t>C. Cochrane 220 kV</t>
  </si>
  <si>
    <t>C. Collahuasi 2 UFR</t>
  </si>
  <si>
    <t>C. Collahuasi B1 1</t>
  </si>
  <si>
    <t>C. Collahuasi B1 3</t>
  </si>
  <si>
    <t>C. Collahuasi B2 1</t>
  </si>
  <si>
    <t>C. Collahuasi B2 2</t>
  </si>
  <si>
    <t>C. Collahuasi PS2</t>
  </si>
  <si>
    <t>C. Collahuasi PS3</t>
  </si>
  <si>
    <t>C. Collahuasi PS4</t>
  </si>
  <si>
    <t>C. Collahuasi PS5</t>
  </si>
  <si>
    <t>C. Cosayach Dolores Eliqsa</t>
  </si>
  <si>
    <t>C. Cóndor Palafitos Eliqsa Enorchile UFR</t>
  </si>
  <si>
    <t>C. Cóndores Alto Hospicio UFR</t>
  </si>
  <si>
    <t>C. Cóndores Dragón UFR</t>
  </si>
  <si>
    <t>C. Cóndores Pacífico Eliqsa Enorchile</t>
  </si>
  <si>
    <t>C. EB1 Sierra Gorda</t>
  </si>
  <si>
    <t>C. EB2 Sierra Gorda</t>
  </si>
  <si>
    <t>C. ELECDA Calama Balmaceda</t>
  </si>
  <si>
    <t>C. ELECDA Calama Grecia/Latorr/Chorr</t>
  </si>
  <si>
    <t>C. ELECDA Calama Grecia/Latorr/Chorr UFR</t>
  </si>
  <si>
    <t>C. ELECDA Tocopilla</t>
  </si>
  <si>
    <t>C. ELECDA-SERMOB-MALL</t>
  </si>
  <si>
    <t>C. El Abra 1</t>
  </si>
  <si>
    <t>C. El Abra 2 UFR</t>
  </si>
  <si>
    <t>C. El Abra 3</t>
  </si>
  <si>
    <t>C. El Peñon UFR</t>
  </si>
  <si>
    <t>C. El Tesoro</t>
  </si>
  <si>
    <t>C. El Tesoro UFR</t>
  </si>
  <si>
    <t>C. Enaex UFR</t>
  </si>
  <si>
    <t>C. Escondida 69 #1</t>
  </si>
  <si>
    <t>C. Escondida 69 #1 UFR</t>
  </si>
  <si>
    <t>C. Escondida 69 #2 UFR</t>
  </si>
  <si>
    <t>C. Escondida B1 13.8 #1 UFR</t>
  </si>
  <si>
    <t>C. Escondida B1 13.8 #2 UFR</t>
  </si>
  <si>
    <t>C. Escondida B2 13.8 #1 UFR</t>
  </si>
  <si>
    <t>C. Escondida B2 13.8 #2 UFR</t>
  </si>
  <si>
    <t>C. Escondida Bombeo #1 UFR</t>
  </si>
  <si>
    <t>C. Escondida Bombeo #2 UFR</t>
  </si>
  <si>
    <t>C. Escondida Bombeo #3 UFR</t>
  </si>
  <si>
    <t>C. Escondida Bombeo #4 UFR</t>
  </si>
  <si>
    <t>C. Escondida Chimborazo #1</t>
  </si>
  <si>
    <t>C. Escondida Chimborazo #2</t>
  </si>
  <si>
    <t>C. Escondida Chimborazo #3</t>
  </si>
  <si>
    <t>C. Escondida Coloso</t>
  </si>
  <si>
    <t>C. Escondida Coloso #4</t>
  </si>
  <si>
    <t>C. Escondida Desalinisadora UFR</t>
  </si>
  <si>
    <t>C. Escondida Farellón #1</t>
  </si>
  <si>
    <t>C. Escondida Farellón #2</t>
  </si>
  <si>
    <t>C. Escondida Farellón #3</t>
  </si>
  <si>
    <t>C. Escondida Laguna Seca #1 UFR</t>
  </si>
  <si>
    <t>C. Escondida Laguna Seca #2</t>
  </si>
  <si>
    <t>C. Escondida Laguna Seca #3</t>
  </si>
  <si>
    <t>C. Escondida Laguna Seca #4</t>
  </si>
  <si>
    <t>C. Escondida Laguna Seca #5</t>
  </si>
  <si>
    <t>C. Escondida Lixiviación N°1 UFR</t>
  </si>
  <si>
    <t>C. Escondida Lixiviación N°2 UFR</t>
  </si>
  <si>
    <t>C. Escondida OGP1 33 #1</t>
  </si>
  <si>
    <t>C. Escondida OGP1 33 #2</t>
  </si>
  <si>
    <t>C. Escondida OGP1 33 #3 UFR</t>
  </si>
  <si>
    <t>C. Escondida OGP1 69 #1</t>
  </si>
  <si>
    <t>C. Escondida OGP1 69 #3 UFR</t>
  </si>
  <si>
    <t>C. Escondida OLAP #1</t>
  </si>
  <si>
    <t>C. Escondida OLAP #2</t>
  </si>
  <si>
    <t>C. Escondida Oxidos #1 UFR</t>
  </si>
  <si>
    <t>C. Escondida Oxidos #2 UFR</t>
  </si>
  <si>
    <t>C. Escondida Puri #1</t>
  </si>
  <si>
    <t>C. Escondida Puri #2</t>
  </si>
  <si>
    <t>C. Escondida Puri #3</t>
  </si>
  <si>
    <t>C. Esmeralda Centro 13.8 UFR</t>
  </si>
  <si>
    <t>C. Esmeralda Centro 23 UFR</t>
  </si>
  <si>
    <t>C. Esmeralda Portada 2</t>
  </si>
  <si>
    <t>C. Esmeralda Portada UFR</t>
  </si>
  <si>
    <t>C. Esmeralda Sur UFR</t>
  </si>
  <si>
    <t>C. Esmeralda Uribe</t>
  </si>
  <si>
    <t>C. Esperanza 1</t>
  </si>
  <si>
    <t>C. Esperanza 2 UFR</t>
  </si>
  <si>
    <t>C. Esperanza 3</t>
  </si>
  <si>
    <t>C. GNLM UFR</t>
  </si>
  <si>
    <t>C. Gaby #1 UFR</t>
  </si>
  <si>
    <t>C. Gaby #2 UFR</t>
  </si>
  <si>
    <t>C. Guardiamarina 1</t>
  </si>
  <si>
    <t>C. Guardiamarina 2</t>
  </si>
  <si>
    <t>C. Guayaques</t>
  </si>
  <si>
    <t>C. Guayaques UFR</t>
  </si>
  <si>
    <t>C. Iquique 13.2 (NOPEL)</t>
  </si>
  <si>
    <t>C. Licancabur</t>
  </si>
  <si>
    <t>C. Licancabur UFR</t>
  </si>
  <si>
    <t>C. Lomas Bayas #1 UFR</t>
  </si>
  <si>
    <t>C. Lomas Bayas #2 UFR</t>
  </si>
  <si>
    <t>C. Lomas Bayas II #1</t>
  </si>
  <si>
    <t>C. Lomas Bayas II #2</t>
  </si>
  <si>
    <t>C. MMH</t>
  </si>
  <si>
    <t>C. MMH UFR</t>
  </si>
  <si>
    <t>C. Mantos Blancos UFR</t>
  </si>
  <si>
    <t>C. Mantos de la Luna UFR</t>
  </si>
  <si>
    <t>C. Menores Chap/CAN-CAN Putre</t>
  </si>
  <si>
    <t>C. Michilla-Lince</t>
  </si>
  <si>
    <t>C. Michilla-Lince UFR</t>
  </si>
  <si>
    <t>C. Minera Antucoya</t>
  </si>
  <si>
    <t>C. Minera Antucoya UFR</t>
  </si>
  <si>
    <t>C. MolyCop UFR</t>
  </si>
  <si>
    <t>C. Molyb</t>
  </si>
  <si>
    <t>C. Muelle UFR</t>
  </si>
  <si>
    <t>C. Nueva Victoria</t>
  </si>
  <si>
    <t>C. Nueva Victoria UFR</t>
  </si>
  <si>
    <t>C. Oyarvide 1</t>
  </si>
  <si>
    <t>C. Oyarvide 2</t>
  </si>
  <si>
    <t>C. P. Alm. Pampino ELECDA/ESSAT/Cosayach</t>
  </si>
  <si>
    <t>C. PAM</t>
  </si>
  <si>
    <t>C. PMA Tocopilla</t>
  </si>
  <si>
    <t>C. Pampa Camarones</t>
  </si>
  <si>
    <t>C. Parinac Pukará EMELARI #2 ENORChile</t>
  </si>
  <si>
    <t>C. Parinacota Chinchorro UFR</t>
  </si>
  <si>
    <t>C. Parinacota Pukará EMELARI #1 UFR</t>
  </si>
  <si>
    <t>C. Parinacota Quiani 1</t>
  </si>
  <si>
    <t>C. Parinacota Quiani 2</t>
  </si>
  <si>
    <t>C. Parinacota Quiani 3</t>
  </si>
  <si>
    <t>C. Patillos 1</t>
  </si>
  <si>
    <t>C. Patillos 2</t>
  </si>
  <si>
    <t>C. Polpaico/Megapuerto/Molynor GAG</t>
  </si>
  <si>
    <t>C. Pozo Almonte La Cascada UFR</t>
  </si>
  <si>
    <t>C. Puerto Collahuasi 23kV</t>
  </si>
  <si>
    <t>C. Puerto Collahuasi 6.9kV</t>
  </si>
  <si>
    <t>C. Punta de Lobos</t>
  </si>
  <si>
    <t>C. Quebrada Blanca UFR</t>
  </si>
  <si>
    <t>C. Quiborax 1</t>
  </si>
  <si>
    <t>C. Quiborax 2</t>
  </si>
  <si>
    <t>C. Radomiro Tomic 1</t>
  </si>
  <si>
    <t>C. Radomiro Tomic 2 UFR</t>
  </si>
  <si>
    <t>C. Radomiro Tomic 3</t>
  </si>
  <si>
    <t>C. SGO 1</t>
  </si>
  <si>
    <t>C. SGO 2</t>
  </si>
  <si>
    <t>C. SQM El Loa UFR</t>
  </si>
  <si>
    <t>C. SQM La Cruz 23</t>
  </si>
  <si>
    <t>C. SQM La Cruz UFR</t>
  </si>
  <si>
    <t>C. Sairecabur</t>
  </si>
  <si>
    <t>C. Sairecabur UFR</t>
  </si>
  <si>
    <t>C. Sierra Gorda N°1</t>
  </si>
  <si>
    <t>C. Sierra Gorda N°2</t>
  </si>
  <si>
    <t>C. Sierra Gorda UFR</t>
  </si>
  <si>
    <t>C. Soquimich-Minsal</t>
  </si>
  <si>
    <t>C. Soquimich-Minsal UFR</t>
  </si>
  <si>
    <t>C. Spence UFR</t>
  </si>
  <si>
    <t>C. Spence/Cerro Dominador</t>
  </si>
  <si>
    <t>C. Tamar. Cosayach/ESSAT/Eliqsa GAG</t>
  </si>
  <si>
    <t>C. Tap Off Oeste -Salar</t>
  </si>
  <si>
    <t>C. Tocopilla LIPESED</t>
  </si>
  <si>
    <t>C. Zaldívar 23 #1 UFR</t>
  </si>
  <si>
    <t>C. Zaldívar 23 #2</t>
  </si>
  <si>
    <t>C. Zaldívar 6.6 1-2</t>
  </si>
  <si>
    <t>C.Challacollo 1</t>
  </si>
  <si>
    <t>C.Challacollo 2</t>
  </si>
  <si>
    <t>C.Paguana 1</t>
  </si>
  <si>
    <t>C.Paguana 2</t>
  </si>
  <si>
    <t>C.Puquios 1</t>
  </si>
  <si>
    <t>C.Puquios 2</t>
  </si>
  <si>
    <t>C.Puquios 3</t>
  </si>
  <si>
    <t>C.Puquios 4</t>
  </si>
  <si>
    <t>C.Puquios 5</t>
  </si>
  <si>
    <t>C.Salar del Carmen</t>
  </si>
  <si>
    <t>C.TRF1_SSAA_Encuentro</t>
  </si>
  <si>
    <t>C.TRF2_SSAA_Crucero</t>
  </si>
  <si>
    <t>C.Tiquima 1</t>
  </si>
  <si>
    <t>C.Tocopilla 2</t>
  </si>
  <si>
    <t>Carga Equivalente PH-11</t>
  </si>
  <si>
    <t>Carga Equivalente PH-12</t>
  </si>
  <si>
    <t>Carga Equivalente PH-21</t>
  </si>
  <si>
    <t>Carga Equivalente PH-22</t>
  </si>
  <si>
    <t>Carga Equivalente PH-31</t>
  </si>
  <si>
    <t>Carga Equivalente PH-32</t>
  </si>
  <si>
    <t>Carga General</t>
  </si>
  <si>
    <t>Carga General-01</t>
  </si>
  <si>
    <t>Carga General-02</t>
  </si>
  <si>
    <t>Carga SSAA PE Duqueco</t>
  </si>
  <si>
    <t>Cargas SS.AA.</t>
  </si>
  <si>
    <t>Cristalerías Chile (LlayLlay)</t>
  </si>
  <si>
    <t>Data center 1</t>
  </si>
  <si>
    <t>Data center 2</t>
  </si>
  <si>
    <t>Data center 3</t>
  </si>
  <si>
    <t>FV GS Consumos</t>
  </si>
  <si>
    <t>Faenas</t>
  </si>
  <si>
    <t>General Load</t>
  </si>
  <si>
    <t>I.  Algarrobo 110 kV</t>
  </si>
  <si>
    <t>I. A. Blancas 66 kV</t>
  </si>
  <si>
    <t>I. Agrosuper 1</t>
  </si>
  <si>
    <t>I. Agrosuper 2</t>
  </si>
  <si>
    <t>I. Altos de Punitaqui</t>
  </si>
  <si>
    <t>I. Ancoa 220 kV</t>
  </si>
  <si>
    <t>I. Andacollo  66 kV</t>
  </si>
  <si>
    <t>I. Armazones</t>
  </si>
  <si>
    <t>I. Bombeo 1 1</t>
  </si>
  <si>
    <t>I. Bombeo 1 2</t>
  </si>
  <si>
    <t>I. Bombeo 2 1</t>
  </si>
  <si>
    <t>I. Bombeo 2 2</t>
  </si>
  <si>
    <t>I. Bombeo 3 1</t>
  </si>
  <si>
    <t>I. Bombeo 3 2</t>
  </si>
  <si>
    <t>I. Bucalemu 66 kV</t>
  </si>
  <si>
    <t>I. Buin 66 kV</t>
  </si>
  <si>
    <t>I. CAP 2</t>
  </si>
  <si>
    <t>I. CAP 3</t>
  </si>
  <si>
    <t>I. CAP 4</t>
  </si>
  <si>
    <t>I. CAP Rengo</t>
  </si>
  <si>
    <t>I. CMPC Papeles 11 kV 1</t>
  </si>
  <si>
    <t>I. CMPC Papeles 110 kV 2</t>
  </si>
  <si>
    <t>I. CYD (DOLE) 66 kV</t>
  </si>
  <si>
    <t>I. Cachapoal 66 kV</t>
  </si>
  <si>
    <t>I. Caserones 2 220 KV</t>
  </si>
  <si>
    <t>I. Caserones 3 220 KV</t>
  </si>
  <si>
    <t>I. Castilla+SSAA Castilla 110kV</t>
  </si>
  <si>
    <t>I. Catemu 44 kV</t>
  </si>
  <si>
    <t>I. Celco 6 kV</t>
  </si>
  <si>
    <t>I. Cemento Melon 60 kV 3</t>
  </si>
  <si>
    <t>I. Cemento Melon 60 kV 4</t>
  </si>
  <si>
    <t>I. Cemento Melon 60 kV 5</t>
  </si>
  <si>
    <t>I. Cemento Melon 60 kV 6</t>
  </si>
  <si>
    <t>I. Cemento Melon 60 kV 7</t>
  </si>
  <si>
    <t>I. Centenario 110 kV</t>
  </si>
  <si>
    <t>I. Cerrillos 110 kV</t>
  </si>
  <si>
    <t>I. Chagres 2 110 kV</t>
  </si>
  <si>
    <t>I. Chiguayante 66 kV</t>
  </si>
  <si>
    <t>I. Chivilcan 66 kV</t>
  </si>
  <si>
    <t>I. Cholguan 220 kV</t>
  </si>
  <si>
    <t>I. Cocharcas 66 kV</t>
  </si>
  <si>
    <t>I. Colchagua 66 kV</t>
  </si>
  <si>
    <t>I. Collipulli 66 kV</t>
  </si>
  <si>
    <t>I. Concepción 66 kV</t>
  </si>
  <si>
    <t>I. Confluencia 220 kV 1</t>
  </si>
  <si>
    <t>I. Confluencia 220 kV 2</t>
  </si>
  <si>
    <t>I. Cordillera 1</t>
  </si>
  <si>
    <t>I. Cordillera 2</t>
  </si>
  <si>
    <t>I. Coronel 66 kV 2</t>
  </si>
  <si>
    <t>I. Curico 66 kV</t>
  </si>
  <si>
    <t>I. Curico FFCC 66 kV</t>
  </si>
  <si>
    <t>I. Dataluna1</t>
  </si>
  <si>
    <t>I. Dataluna2</t>
  </si>
  <si>
    <t>I. Duqueco 66 kV</t>
  </si>
  <si>
    <t>I. ENAP BIOBIO 1</t>
  </si>
  <si>
    <t>I. ENAP BIOBIO 2</t>
  </si>
  <si>
    <t>I. Eka Nobel 1 154 kV</t>
  </si>
  <si>
    <t>I. Eka Nobel 2 154 kV</t>
  </si>
  <si>
    <t>I. El Bato 110 kV</t>
  </si>
  <si>
    <t>I. El Cobre 110 kV 2</t>
  </si>
  <si>
    <t>I. El Manco 66 kV</t>
  </si>
  <si>
    <t>I. El Manzano 3</t>
  </si>
  <si>
    <t>I. El Romeral (CMP) 2</t>
  </si>
  <si>
    <t>I. El Salvador 110 KV 2</t>
  </si>
  <si>
    <t>I. El Salvador 110 KV 3</t>
  </si>
  <si>
    <t>I. El Salvador 110 KV 4</t>
  </si>
  <si>
    <t>I. El Teniente (Hornos de Arco) 66 1R</t>
  </si>
  <si>
    <t>I. El Teniente (Hornos de Arco) 66 2R</t>
  </si>
  <si>
    <t>I. El Teniente (Hornos de Arco) 66kV 1R2</t>
  </si>
  <si>
    <t>I. El Teniente (Hornos de Arco) 66kV 2R2</t>
  </si>
  <si>
    <t>I. El Teniente 154 kV 1</t>
  </si>
  <si>
    <t>I. Enami 110 kV 2</t>
  </si>
  <si>
    <t>I. Enami 110 kV 3</t>
  </si>
  <si>
    <t>I. Enami 110 kV 4</t>
  </si>
  <si>
    <t>I. Enami 110 kV 5</t>
  </si>
  <si>
    <t>I. Enami 110 kV 6</t>
  </si>
  <si>
    <t>I. Escuadrón 66 kV</t>
  </si>
  <si>
    <t>I. Esperanza 66 kV</t>
  </si>
  <si>
    <t>I. FFCC 1</t>
  </si>
  <si>
    <t>I. FFCC 2</t>
  </si>
  <si>
    <t>I. FFCC Buin 66 kV</t>
  </si>
  <si>
    <t>I. FFCC Quilpue 110 kV</t>
  </si>
  <si>
    <t>I. FFCC San Fernando 66 kV</t>
  </si>
  <si>
    <t>I. Fesub 66 kV</t>
  </si>
  <si>
    <t>I. Fibranova</t>
  </si>
  <si>
    <t>I. Fopaco 6 kV</t>
  </si>
  <si>
    <t>I. Guanaco</t>
  </si>
  <si>
    <t>I. Hospital 66 kV</t>
  </si>
  <si>
    <t>I. Huasco 110 KV 2</t>
  </si>
  <si>
    <t>I. Incahuasi 110 kV</t>
  </si>
  <si>
    <t>I. Indura</t>
  </si>
  <si>
    <t>I. Inforsa 2</t>
  </si>
  <si>
    <t>I. Inforsa 3</t>
  </si>
  <si>
    <t>I. Itahue 66 kV</t>
  </si>
  <si>
    <t>I. Jorquera 220 KV</t>
  </si>
  <si>
    <t>I. Kozan 110 kV 1</t>
  </si>
  <si>
    <t>I. Kozan 110 kV 2</t>
  </si>
  <si>
    <t>I. La Coipa 220 KV 2</t>
  </si>
  <si>
    <t>I. La Ronda 66 kV</t>
  </si>
  <si>
    <t>I. Laja (CMPC)_1</t>
  </si>
  <si>
    <t>I. Laja (CMPC)_2</t>
  </si>
  <si>
    <t>I. Laja (CMPC)_3</t>
  </si>
  <si>
    <t>I. Laja (CMPC)_B</t>
  </si>
  <si>
    <t>I. Laja (CMPC)_D</t>
  </si>
  <si>
    <t>I. Laja 66 kV</t>
  </si>
  <si>
    <t>I. Lama</t>
  </si>
  <si>
    <t>I. Lampa 1</t>
  </si>
  <si>
    <t>I. Lampa 2</t>
  </si>
  <si>
    <t>I. Lampa 3</t>
  </si>
  <si>
    <t>I. Las Tortolas 220 kV 1</t>
  </si>
  <si>
    <t>I. Las Tortolas 220 kV 2</t>
  </si>
  <si>
    <t>I. Las Tortolas 220 kV 3</t>
  </si>
  <si>
    <t>I. Las Vegas 110 kV</t>
  </si>
  <si>
    <t>I. Lautaro 66 kV</t>
  </si>
  <si>
    <t>I. Licantén 66 kV</t>
  </si>
  <si>
    <t>I. Lirios 66 kV</t>
  </si>
  <si>
    <t>I. Lirquén</t>
  </si>
  <si>
    <t>I. Lo Aguirre 1</t>
  </si>
  <si>
    <t>I. Lo Aguirre 2</t>
  </si>
  <si>
    <t>I. Lo Ermita</t>
  </si>
  <si>
    <t>I. Longavi 66kV</t>
  </si>
  <si>
    <t>I. Los Angeles 154 kV</t>
  </si>
  <si>
    <t>I. Los Angeles 66 kV 1</t>
  </si>
  <si>
    <t>I. Los Colorados 110 KV</t>
  </si>
  <si>
    <t>I. Los Piuquenes  220 kV 2</t>
  </si>
  <si>
    <t>I. Los Piuquenes  220 kV 3</t>
  </si>
  <si>
    <t>I. MAPA 220 kV TR10</t>
  </si>
  <si>
    <t>I. MAPA 220 kV TR5</t>
  </si>
  <si>
    <t>I. MAPA 220 kV TR6</t>
  </si>
  <si>
    <t>I. MAPA 220 kV TR9</t>
  </si>
  <si>
    <t>I. MCDA 1</t>
  </si>
  <si>
    <t>I. MCDA 2</t>
  </si>
  <si>
    <t>I. MDP Teno 13.2 kV</t>
  </si>
  <si>
    <t>I. Macul 6 (Metro)</t>
  </si>
  <si>
    <t>I. Magnetita 110 kV</t>
  </si>
  <si>
    <t>I. Maitenes 220 kV 2</t>
  </si>
  <si>
    <t>I. Maitenes 220 kV 3</t>
  </si>
  <si>
    <t>I. Malloa 66 kV</t>
  </si>
  <si>
    <t>I. Manto Verde Copiapo  110 KV</t>
  </si>
  <si>
    <t>I. Manto Verde D. Almagro 110 KV 2</t>
  </si>
  <si>
    <t>I. Masisa</t>
  </si>
  <si>
    <t>I. Mauco 1</t>
  </si>
  <si>
    <t>I. Mauco 2</t>
  </si>
  <si>
    <t>I. Mauro  220 kV 1</t>
  </si>
  <si>
    <t>I. Mauro  220 kV 2</t>
  </si>
  <si>
    <t>I. Metrenco FFCC 66 kV</t>
  </si>
  <si>
    <t>I. Metro 2</t>
  </si>
  <si>
    <t>I. Metro 3</t>
  </si>
  <si>
    <t>I. Min. El Indio  110 kV</t>
  </si>
  <si>
    <t>I. Mina 110 kV 1</t>
  </si>
  <si>
    <t>I. Mina 110 kV 2</t>
  </si>
  <si>
    <t>I. Minera La Candelaria 2</t>
  </si>
  <si>
    <t>I. Minera La Candelaria 3</t>
  </si>
  <si>
    <t>I. Minera Valle Central 4.16 kV 2</t>
  </si>
  <si>
    <t>I. Minero-Colon 1 110 kV</t>
  </si>
  <si>
    <t>I. Minero-Colon 2 110 kV</t>
  </si>
  <si>
    <t>I. Minero-Cordillera 1 110 kV</t>
  </si>
  <si>
    <t>I. Minero-Cordillera 2 110 kV</t>
  </si>
  <si>
    <t>I. Minero-El Cobre 2 110 kV</t>
  </si>
  <si>
    <t>I. Minero-Sewel 1 110 kV</t>
  </si>
  <si>
    <t>I. Minero-Sewel 2 110 kV</t>
  </si>
  <si>
    <t>I. Miraflores 110 kV</t>
  </si>
  <si>
    <t>I. Molinos 110 kV 1</t>
  </si>
  <si>
    <t>I. Molinos 110 kV 2</t>
  </si>
  <si>
    <t>I. Monte Aguila  66 kV</t>
  </si>
  <si>
    <t>I. Neptuno 1</t>
  </si>
  <si>
    <t>I. Neptuno 2</t>
  </si>
  <si>
    <t>I. Nueva Panquehue 110 kV</t>
  </si>
  <si>
    <t>I. Oxy 1 154 kV</t>
  </si>
  <si>
    <t>I. Oxy 2 154 kV</t>
  </si>
  <si>
    <t>I. P.Talagante 12 kV</t>
  </si>
  <si>
    <t>I. PETROPOWER</t>
  </si>
  <si>
    <t>I. Pacífico_1</t>
  </si>
  <si>
    <t>I. Pacífico_2</t>
  </si>
  <si>
    <t>I. Paipote 110 KV 2</t>
  </si>
  <si>
    <t>I. Pajonales (ESO) 110 kV</t>
  </si>
  <si>
    <t>I. Pangue 66 kV</t>
  </si>
  <si>
    <t>I. Panguilemo 66kV</t>
  </si>
  <si>
    <t>I. Papeles y Bosques BioBio 66 kV 2</t>
  </si>
  <si>
    <t>I. Papeles y Bosques BioBio 66 kV 3</t>
  </si>
  <si>
    <t>I. Pillanlelbún 66 kV</t>
  </si>
  <si>
    <t>I. Planta Viñales 13.2 kV 1</t>
  </si>
  <si>
    <t>I. Planta Viñales 13.2 kV 2</t>
  </si>
  <si>
    <t>I. Planta de Óxidos 110 kV</t>
  </si>
  <si>
    <t>I. Polpaico 2</t>
  </si>
  <si>
    <t>I. Polpaico 66 kV</t>
  </si>
  <si>
    <t>I. Potrerillos  110 KV 2</t>
  </si>
  <si>
    <t>I. Procart  220 kV 2</t>
  </si>
  <si>
    <t>I. Procart  220 kV 3</t>
  </si>
  <si>
    <t>I. Pto. Chungo + SS/AA Los Vilos  110 kV</t>
  </si>
  <si>
    <t>I. Punitaqui</t>
  </si>
  <si>
    <t>I. Quinta 66 kV</t>
  </si>
  <si>
    <t>I. RPC 110 kV</t>
  </si>
  <si>
    <t>I. Refugio 2</t>
  </si>
  <si>
    <t>I. Reguladora Rapel 66 kV</t>
  </si>
  <si>
    <t>I. Renaico 66 kV</t>
  </si>
  <si>
    <t>I. Rengo 66 kV</t>
  </si>
  <si>
    <t>I. Río Melado 154 kV</t>
  </si>
  <si>
    <t>I. SS/AA A. Jahuel</t>
  </si>
  <si>
    <t>I. SS/AA C. Navia</t>
  </si>
  <si>
    <t>I. SS/AA C. Pinto</t>
  </si>
  <si>
    <t>I. SS/AA Cardones</t>
  </si>
  <si>
    <t>I. SS/AA D. Almagro</t>
  </si>
  <si>
    <t>I. SS/AA El Peñón</t>
  </si>
  <si>
    <t>I. SS/AA Itahue</t>
  </si>
  <si>
    <t>I. SS/AA Las Palmas</t>
  </si>
  <si>
    <t>I. SS/AA Los Espinos</t>
  </si>
  <si>
    <t>I. SS/AA Maitencillo</t>
  </si>
  <si>
    <t>I. SS/AA Pan de Azúcar</t>
  </si>
  <si>
    <t>I. SS/AA Polpaico</t>
  </si>
  <si>
    <t>I. SS/AA San Lorenzo</t>
  </si>
  <si>
    <t>I. SS/AA Teno</t>
  </si>
  <si>
    <t>I. SS/AA Yungay</t>
  </si>
  <si>
    <t>I. SSAA  El Cobre</t>
  </si>
  <si>
    <t>I. SSAA Cautín</t>
  </si>
  <si>
    <t>I. SSAA Charrúa</t>
  </si>
  <si>
    <t>I. SSAA Concepción 220 kV</t>
  </si>
  <si>
    <t>I. SSAA Hualpén 220 kV</t>
  </si>
  <si>
    <t>I. SSAA Quillota</t>
  </si>
  <si>
    <t>I. SSAA Sauzal</t>
  </si>
  <si>
    <t>I. SSAA Temuco</t>
  </si>
  <si>
    <t>I. San Antonio 110 kV 2</t>
  </si>
  <si>
    <t>I. San Felipe 110 kV</t>
  </si>
  <si>
    <t>I. San Jose Maipo</t>
  </si>
  <si>
    <t>I. San Miguel 66 kV</t>
  </si>
  <si>
    <t>I. San Rafael 110 kV</t>
  </si>
  <si>
    <t>I. Santa Fe 154 kV</t>
  </si>
  <si>
    <t>I. Santa Fe_U1</t>
  </si>
  <si>
    <t>I. Santa Fe_U2</t>
  </si>
  <si>
    <t>I. Santa Fe_U3</t>
  </si>
  <si>
    <t>I. Santa Filomena 220 kV</t>
  </si>
  <si>
    <t>I. Santa Raquel 5 (Metro)</t>
  </si>
  <si>
    <t>I. Sauzalito 13.8 kV</t>
  </si>
  <si>
    <t>I. T. Amarilla 110 kV</t>
  </si>
  <si>
    <t>I. Talcahuano 66 kV</t>
  </si>
  <si>
    <t>I. Talcahuano 66 kV(1)</t>
  </si>
  <si>
    <t>I. Tchitack 1</t>
  </si>
  <si>
    <t>I. Tchitack 2</t>
  </si>
  <si>
    <t>I. Teno1 13.2 kV</t>
  </si>
  <si>
    <t>I. Teno2 13.2 kV</t>
  </si>
  <si>
    <t>I. Totoralillo 220 KV</t>
  </si>
  <si>
    <t>I. Trapén 110 kV</t>
  </si>
  <si>
    <t>I. Travesía 110 KV</t>
  </si>
  <si>
    <t>I. Tres Esquinas 66 kV</t>
  </si>
  <si>
    <t>I. Tumbes 66 kV</t>
  </si>
  <si>
    <t>I. Tuniche 66 kV</t>
  </si>
  <si>
    <t>I. Túnel El Melón 44 kV</t>
  </si>
  <si>
    <t>I. Valparaiso</t>
  </si>
  <si>
    <t>I. Ventanas 1</t>
  </si>
  <si>
    <t>I. Ventanas 2</t>
  </si>
  <si>
    <t>I. Victoria 66 kV</t>
  </si>
  <si>
    <t>I. Villa Alegre 66 kV</t>
  </si>
  <si>
    <t>I. carga Esperanza U3</t>
  </si>
  <si>
    <t>I. km 21</t>
  </si>
  <si>
    <t>I. Ñiquén 66 kV</t>
  </si>
  <si>
    <t>PE LA ESTRELLA SSAA</t>
  </si>
  <si>
    <t>PE Negrete - SSAA</t>
  </si>
  <si>
    <t>PFV Sol del Desierto SSAA Eq</t>
  </si>
  <si>
    <t>R. A. Blancas 66 kV</t>
  </si>
  <si>
    <t>R. Achupallas 110 kV</t>
  </si>
  <si>
    <t>R. Aihuapi 1 66 kV</t>
  </si>
  <si>
    <t>R. Aihuapi 2 66 kV</t>
  </si>
  <si>
    <t>R. Alameda 2 66 kV</t>
  </si>
  <si>
    <t>R. Alameda 3 66 kV</t>
  </si>
  <si>
    <t>R. Alcones 66 kV 1</t>
  </si>
  <si>
    <t>R. Alcones 66 kV 2</t>
  </si>
  <si>
    <t>R. Algarrobo Norte 66 kV</t>
  </si>
  <si>
    <t>R. Altamirano 3</t>
  </si>
  <si>
    <t>R. Altamirano 4</t>
  </si>
  <si>
    <t>R. Alto Bonito 110 kV</t>
  </si>
  <si>
    <t>R. Ancoa 220 kV</t>
  </si>
  <si>
    <t>R. Ancud 110 kV</t>
  </si>
  <si>
    <t>R. Andacollo  66 kV</t>
  </si>
  <si>
    <t>R. Andalien 2 66 kV</t>
  </si>
  <si>
    <t>R. Angol 66 kV</t>
  </si>
  <si>
    <t>R. Apoquindo 2</t>
  </si>
  <si>
    <t>R. Apoquindo 4</t>
  </si>
  <si>
    <t>R. B.Blanco 66 kV</t>
  </si>
  <si>
    <t>R. Batuco 1</t>
  </si>
  <si>
    <t>R. Bicentenario 1</t>
  </si>
  <si>
    <t>R. Bicentenario 2</t>
  </si>
  <si>
    <t>R. Bollenar 66 kV</t>
  </si>
  <si>
    <t>R. Bosquemar 2 110 kV</t>
  </si>
  <si>
    <t>R. Brasil 1</t>
  </si>
  <si>
    <t>R. Brasil 3</t>
  </si>
  <si>
    <t>R. Cabildo 2</t>
  </si>
  <si>
    <t>R. Cabrero 2 66 kV</t>
  </si>
  <si>
    <t>R. Calbuco 110 kV</t>
  </si>
  <si>
    <t>R. Caldera 110 KV</t>
  </si>
  <si>
    <t>R. Caldera 2 110 KV</t>
  </si>
  <si>
    <t>R. Caleu 44 kV</t>
  </si>
  <si>
    <t>R. Calle Calle 23 kV</t>
  </si>
  <si>
    <t>R. Carampangue 1 66 kV</t>
  </si>
  <si>
    <t>R. Carampangue 2 66 kV</t>
  </si>
  <si>
    <t>R. Carrascal 1</t>
  </si>
  <si>
    <t>R. Carrascal 2</t>
  </si>
  <si>
    <t>R. Carrascal 3</t>
  </si>
  <si>
    <t>R. Casablanca 2 66 kV</t>
  </si>
  <si>
    <t>R. Castilla 110kV</t>
  </si>
  <si>
    <t>R. Castro 110 kV</t>
  </si>
  <si>
    <t>R. Catemu 44 kV</t>
  </si>
  <si>
    <t>R. Cauquenes 66 kV 1</t>
  </si>
  <si>
    <t>R. Cañete 66 kV</t>
  </si>
  <si>
    <t>R. Chacabuco 4</t>
  </si>
  <si>
    <t>R. Chacabuco 6</t>
  </si>
  <si>
    <t>R. Chacabuco 7</t>
  </si>
  <si>
    <t>R. Chacabuco 8</t>
  </si>
  <si>
    <t>R. Chacahuín 1 66 kV</t>
  </si>
  <si>
    <t>R. Chacahuín 2 66 kV</t>
  </si>
  <si>
    <t>R. Charrúa 154 kV</t>
  </si>
  <si>
    <t>R. Charrúa 66 kV</t>
  </si>
  <si>
    <t>R. Chicureo 1</t>
  </si>
  <si>
    <t>R. Chicureo 2</t>
  </si>
  <si>
    <t>R. Chiguayante 2 66 kV</t>
  </si>
  <si>
    <t>R. Chillán 2 66 kV</t>
  </si>
  <si>
    <t>R. Chillán 4 66 kV</t>
  </si>
  <si>
    <t>R. Chimbarongo 66 kV</t>
  </si>
  <si>
    <t>R. Chirre 110 kV</t>
  </si>
  <si>
    <t>R. Chivilcan 1 66 kV</t>
  </si>
  <si>
    <t>R. Chivilcan 2 66 kV</t>
  </si>
  <si>
    <t>R. Chocalán 66 kV</t>
  </si>
  <si>
    <t>R. Cholguán 66 kV</t>
  </si>
  <si>
    <t>R. Chonchi 24 kV</t>
  </si>
  <si>
    <t>R. Cipreses 154 kV</t>
  </si>
  <si>
    <t>R. Cocharcas 66 kV 2</t>
  </si>
  <si>
    <t>R. Colaco 110 kV</t>
  </si>
  <si>
    <t>R. Colbun 220 kV</t>
  </si>
  <si>
    <t>R. Colcura 66 kV</t>
  </si>
  <si>
    <t>R. Collipulli 1 66 kV</t>
  </si>
  <si>
    <t>R. Collipulli 2 66 kV</t>
  </si>
  <si>
    <t>R. Colo Colo 1 66 kV</t>
  </si>
  <si>
    <t>R. Colo Colo 2 66 kV</t>
  </si>
  <si>
    <t>R. Combarbala 1 66 kV</t>
  </si>
  <si>
    <t>R. Combarbala 2 66 kV</t>
  </si>
  <si>
    <t>R. Combarbala 3 66 kV</t>
  </si>
  <si>
    <t>R. Constitucion 2</t>
  </si>
  <si>
    <t>R. Constitucion 3</t>
  </si>
  <si>
    <t>R. Constitución 66 kV</t>
  </si>
  <si>
    <t>R. Coopelan 220 kV</t>
  </si>
  <si>
    <t>R. Copiapo 1 110 kV</t>
  </si>
  <si>
    <t>R. Copiapo 2 110 kV</t>
  </si>
  <si>
    <t>R. Cordova 2</t>
  </si>
  <si>
    <t>R. Cordova 4</t>
  </si>
  <si>
    <t>R. Coronel 66 kV 2</t>
  </si>
  <si>
    <t>R. Costanera</t>
  </si>
  <si>
    <t>R. Cunco</t>
  </si>
  <si>
    <t>R. Curacautín 1 66 kV</t>
  </si>
  <si>
    <t>R. Curacaví 1</t>
  </si>
  <si>
    <t>R. Curanilahue 1 66 kV</t>
  </si>
  <si>
    <t>R. Curanilahue 2 66 kV</t>
  </si>
  <si>
    <t>R. Curicó CEC 2 66 kV</t>
  </si>
  <si>
    <t>R. Curicó CGE 2 66 kV</t>
  </si>
  <si>
    <t>R. Dalcahue 110 kV</t>
  </si>
  <si>
    <t>R. Degañ</t>
  </si>
  <si>
    <t>R. Deuco 66 kV</t>
  </si>
  <si>
    <t>R. Duqueco 66 kV</t>
  </si>
  <si>
    <t>R. E.E. Pirque 1 110 kV</t>
  </si>
  <si>
    <t>R. E.E. Pirque 2 110 kV</t>
  </si>
  <si>
    <t>R. Ejercito 66 kV</t>
  </si>
  <si>
    <t>R. El Avellano</t>
  </si>
  <si>
    <t>R. El Espino 66 kV</t>
  </si>
  <si>
    <t>R. El Maitén 66 kV</t>
  </si>
  <si>
    <t>R. El Manzano 2</t>
  </si>
  <si>
    <t>R. El Melón 1 44 kV</t>
  </si>
  <si>
    <t>R. El Melón 2 44 kV</t>
  </si>
  <si>
    <t>R. El Paico</t>
  </si>
  <si>
    <t>R. El Peñon  110 kV</t>
  </si>
  <si>
    <t>R. El Peñón  66 kV</t>
  </si>
  <si>
    <t>R. El Salado + Chañaral 110 KV</t>
  </si>
  <si>
    <t>R. El Sauce 66 kV</t>
  </si>
  <si>
    <t>R. El Totoral 1</t>
  </si>
  <si>
    <t>R. El Totoral 2</t>
  </si>
  <si>
    <t>R. Empalme 1 110 kV</t>
  </si>
  <si>
    <t>R. Empalme 2 110 kV</t>
  </si>
  <si>
    <t>R. Entel 44 kV</t>
  </si>
  <si>
    <t>R. Escuadrón 66 kV</t>
  </si>
  <si>
    <t>R. Esperanza 66 kV</t>
  </si>
  <si>
    <t>R. Florida</t>
  </si>
  <si>
    <t>R. Frutillar 1 66 kV</t>
  </si>
  <si>
    <t>R. Frutillar 2 66 kV</t>
  </si>
  <si>
    <t>R. Fuentecilla 66 kV</t>
  </si>
  <si>
    <t>R. Gorbea 66 kV</t>
  </si>
  <si>
    <t>R. Graneros 66 kV</t>
  </si>
  <si>
    <t>R. Guayacan 1 66 kV</t>
  </si>
  <si>
    <t>R. Guayacan 2 66 kV</t>
  </si>
  <si>
    <t>R. Hernán Fuentes 110 kV</t>
  </si>
  <si>
    <t>R. Hospital 66 kV 1</t>
  </si>
  <si>
    <t>R. Hospital 66 kV 2</t>
  </si>
  <si>
    <t>R. Hualañe 66 kV</t>
  </si>
  <si>
    <t>R. Hualte 33kV 1</t>
  </si>
  <si>
    <t>R. Hualte 33kv 2</t>
  </si>
  <si>
    <t>R. Huasco 110 KV</t>
  </si>
  <si>
    <t>R. Inca de Oro + D.Amagro 110 KV</t>
  </si>
  <si>
    <t>R. Incahuasi 110 kV</t>
  </si>
  <si>
    <t>R. Itahue 66 kV</t>
  </si>
  <si>
    <t>R. Juncal 44 kV</t>
  </si>
  <si>
    <t>R. La Calera 110 kV</t>
  </si>
  <si>
    <t>R. La Cisterna 5</t>
  </si>
  <si>
    <t>R. La Dehesa 1</t>
  </si>
  <si>
    <t>R. La Dehesa 2</t>
  </si>
  <si>
    <t>R. La Dehesa 3</t>
  </si>
  <si>
    <t>R. La Dehesa 4</t>
  </si>
  <si>
    <t>R. La Mision 66 kV</t>
  </si>
  <si>
    <t>R. La Palma 66 kV 1</t>
  </si>
  <si>
    <t>R. La Palma 66 kV 2</t>
  </si>
  <si>
    <t>R. La Reina 1</t>
  </si>
  <si>
    <t>R. La Reina 3</t>
  </si>
  <si>
    <t>R. La Unión 1 66 kV</t>
  </si>
  <si>
    <t>R. La Unión 3 66 kV</t>
  </si>
  <si>
    <t>R. La Unión 5 66 kV</t>
  </si>
  <si>
    <t>R. La Vega 66 kV</t>
  </si>
  <si>
    <t>R. Laja 1 66 kV</t>
  </si>
  <si>
    <t>R. Laja 2 66 kV</t>
  </si>
  <si>
    <t>R. Larqui</t>
  </si>
  <si>
    <t>R. Las Acacias 2</t>
  </si>
  <si>
    <t>R. Las Acacias 3</t>
  </si>
  <si>
    <t>R. Las Arañas</t>
  </si>
  <si>
    <t>R. Las Balandras 2 66 kV</t>
  </si>
  <si>
    <t>R. Las Compañias 110 kV</t>
  </si>
  <si>
    <t>R. Las Encinas 66 kV 1</t>
  </si>
  <si>
    <t>R. Las Encinas 66 kV 2</t>
  </si>
  <si>
    <t>R. Las Piñatas 66 kV</t>
  </si>
  <si>
    <t>R. Las Violetas 66 kV</t>
  </si>
  <si>
    <t>R. Latorre 66 kV</t>
  </si>
  <si>
    <t>R. Lautaro 1 66 kV</t>
  </si>
  <si>
    <t>R. Lautaro 2 66 kV</t>
  </si>
  <si>
    <t>R. Lebu 1 66 kV</t>
  </si>
  <si>
    <t>R. Lebu 2 66 kV</t>
  </si>
  <si>
    <t>R. Leyda 110 kV</t>
  </si>
  <si>
    <t>R. Licanco</t>
  </si>
  <si>
    <t>R. Lihueimo 1 66 kV</t>
  </si>
  <si>
    <t>R. Lihueimo 2 66 kV</t>
  </si>
  <si>
    <t>R. Lihueimo 3 66 kV</t>
  </si>
  <si>
    <t>R. Linares Norte 1</t>
  </si>
  <si>
    <t>R. Linares Norte 2</t>
  </si>
  <si>
    <t>R. Lirquén</t>
  </si>
  <si>
    <t>R. Llaima 66 kV</t>
  </si>
  <si>
    <t>R. Lo Boza 5</t>
  </si>
  <si>
    <t>R. Lo Boza 6</t>
  </si>
  <si>
    <t>R. Lo Miranda 66 kV</t>
  </si>
  <si>
    <t>R. Lo Prado</t>
  </si>
  <si>
    <t>R. Lo Valledor 3</t>
  </si>
  <si>
    <t>R. Lo Valledor 4</t>
  </si>
  <si>
    <t>R. Loma Colorada 1 66 kV</t>
  </si>
  <si>
    <t>R. Loma Colorada 2 66 kV</t>
  </si>
  <si>
    <t>R. Loncoche 1 66 kV</t>
  </si>
  <si>
    <t>R. Loncoche 2 66 kV</t>
  </si>
  <si>
    <t>R. Loncoche 3 66 kV</t>
  </si>
  <si>
    <t>R. Longavi 66kV</t>
  </si>
  <si>
    <t>R. Lord Cochrane 1</t>
  </si>
  <si>
    <t>R. Lord Cochrane 2</t>
  </si>
  <si>
    <t>R. Lord Cochrane 3</t>
  </si>
  <si>
    <t>R. Loreto 66 kV</t>
  </si>
  <si>
    <t>R. Los Angeles 66 kV 2</t>
  </si>
  <si>
    <t>R. Los Dominicos 1</t>
  </si>
  <si>
    <t>R. Los Dominicos 2</t>
  </si>
  <si>
    <t>R. Los Lagos 1 66 kV</t>
  </si>
  <si>
    <t>R. Los Lagos 2 66 kV</t>
  </si>
  <si>
    <t>R. Los Lagos 3</t>
  </si>
  <si>
    <t>R. Los Maquis</t>
  </si>
  <si>
    <t>R. Los Negros 66 kV</t>
  </si>
  <si>
    <t>R. Los Sauces</t>
  </si>
  <si>
    <t>R. Los Tambores 66 kV</t>
  </si>
  <si>
    <t>R. Los Tambores 66 kV 2</t>
  </si>
  <si>
    <t>R. Los Tilos Bulnes</t>
  </si>
  <si>
    <t>R. Lota (Enacar) 66 kV</t>
  </si>
  <si>
    <t>R. Lota (Frontel) 66 kV 2</t>
  </si>
  <si>
    <t>R. Machalí</t>
  </si>
  <si>
    <t>R. Macul 1(1)</t>
  </si>
  <si>
    <t>R. Macul 2</t>
  </si>
  <si>
    <t>R. Macul 4</t>
  </si>
  <si>
    <t>R. Mahns 1</t>
  </si>
  <si>
    <t>R. Mahns 2</t>
  </si>
  <si>
    <t>R. Maitenes</t>
  </si>
  <si>
    <t>R. Malloa 66 kV</t>
  </si>
  <si>
    <t>R. Malloco 2</t>
  </si>
  <si>
    <t>R. Mandinga 66 kV</t>
  </si>
  <si>
    <t>R. Manso de Velasco 66 kV</t>
  </si>
  <si>
    <t>R. Marbella 110 kV</t>
  </si>
  <si>
    <t>R. Marchigue 1</t>
  </si>
  <si>
    <t>R. Marchigue 2</t>
  </si>
  <si>
    <t>R. Marga Marga 2 110 kV</t>
  </si>
  <si>
    <t>R. Marga Marga 3 110 kV</t>
  </si>
  <si>
    <t>R. Mariquina 220 kV</t>
  </si>
  <si>
    <t>R. Mariscal 1</t>
  </si>
  <si>
    <t>R. Mariscal 2</t>
  </si>
  <si>
    <t>R. Mariscal 3</t>
  </si>
  <si>
    <t>R. Maule 66 kV 1</t>
  </si>
  <si>
    <t>R. Mayaca</t>
  </si>
  <si>
    <t>R. Melipilla 3 110 kV</t>
  </si>
  <si>
    <t>R. Melipilla 4 110 kV</t>
  </si>
  <si>
    <t>R. Miraflores 2 110 kV</t>
  </si>
  <si>
    <t>R. Molina 1 66 kV</t>
  </si>
  <si>
    <t>R. Molina 2 66 kV</t>
  </si>
  <si>
    <t>R. Monte Patria 66 kV</t>
  </si>
  <si>
    <t>R. Montenegro 13.8kV</t>
  </si>
  <si>
    <t>R. Nahuelbuta 66 kV</t>
  </si>
  <si>
    <t>R. Nancagua 66 kV</t>
  </si>
  <si>
    <t>R. Nirivilo 66 kV 1</t>
  </si>
  <si>
    <t>R. Nirivilo 66 kV 2</t>
  </si>
  <si>
    <t>R. Nueva Imperial 66 kV</t>
  </si>
  <si>
    <t>R. Ochagavia 2</t>
  </si>
  <si>
    <t>R. Osorno 2 66 kV</t>
  </si>
  <si>
    <t>R. Osorno 3 66 kV</t>
  </si>
  <si>
    <t>R. Ovalle 2 66 kV</t>
  </si>
  <si>
    <t>R. Padre Hurtado</t>
  </si>
  <si>
    <t>R. Padre Las Casas 66 kV 2</t>
  </si>
  <si>
    <t>R. Paillaco 66 kV</t>
  </si>
  <si>
    <t>R. Pajaritos 4</t>
  </si>
  <si>
    <t>R. Pan de Azucar (Emec) 110 kV</t>
  </si>
  <si>
    <t>R. Panamericana 2</t>
  </si>
  <si>
    <t>R. Panamericana 4</t>
  </si>
  <si>
    <t>R. Panguilemo 66kV</t>
  </si>
  <si>
    <t>R. Panguipulli 66 kV 1</t>
  </si>
  <si>
    <t>R. Panguipulli 66 kV 2</t>
  </si>
  <si>
    <t>R. Panimavida 1 66 kV</t>
  </si>
  <si>
    <t>R. Panimavida 2 66 kV</t>
  </si>
  <si>
    <t>R. Panquehue 44 kV</t>
  </si>
  <si>
    <t>R. Paposo 220 kV</t>
  </si>
  <si>
    <t>R. Pargua</t>
  </si>
  <si>
    <t>R. Parral 66 kV</t>
  </si>
  <si>
    <t>R. Parronal 66 kV</t>
  </si>
  <si>
    <t>R. Paso Hondo</t>
  </si>
  <si>
    <t>R. Pelequen 66 kV</t>
  </si>
  <si>
    <t>R. Penco 66 kV</t>
  </si>
  <si>
    <t>R. Perales 66 kV</t>
  </si>
  <si>
    <t>R. Picarte 2 66 kV</t>
  </si>
  <si>
    <t>R. Pichil 66 kV</t>
  </si>
  <si>
    <t>R. Pichirropulli 1 66 kV</t>
  </si>
  <si>
    <t>R. Pichirropulli 2 66 kV</t>
  </si>
  <si>
    <t>R. Picoltué 220 kV</t>
  </si>
  <si>
    <t>R. Piduco 1 66 kV</t>
  </si>
  <si>
    <t>R. Piduco 2 66 kV</t>
  </si>
  <si>
    <t>R. Pillanlelbún 66 kV 1</t>
  </si>
  <si>
    <t>R. Pillanlelbún 66 kV 2</t>
  </si>
  <si>
    <t>R. Pilmaiquen 66 kV</t>
  </si>
  <si>
    <t>R. Pintana 2</t>
  </si>
  <si>
    <t>R. Pintana 3</t>
  </si>
  <si>
    <t>R. Pintana 4</t>
  </si>
  <si>
    <t>R. Pitrufquen 1 66 kV</t>
  </si>
  <si>
    <t>R. Pitrufquen 2 66 kV</t>
  </si>
  <si>
    <t>R. Pitrufquen 3 66 kV</t>
  </si>
  <si>
    <t>R. Placeres 1 110 kV</t>
  </si>
  <si>
    <t>R. Placeres 2 110 kV</t>
  </si>
  <si>
    <t>R. Placilla</t>
  </si>
  <si>
    <t>R. Placilla 66 kV</t>
  </si>
  <si>
    <t>R. Plantas 110 kV</t>
  </si>
  <si>
    <t>R. Playa Ancha 110 kV 2</t>
  </si>
  <si>
    <t>R. Portezuelo 66 kV</t>
  </si>
  <si>
    <t>R. Pte. Alto 2</t>
  </si>
  <si>
    <t>R. Pte. Alto 3</t>
  </si>
  <si>
    <t>R. Puchoco</t>
  </si>
  <si>
    <t>R. Pudahuel 3</t>
  </si>
  <si>
    <t>R. Pudahuel 4</t>
  </si>
  <si>
    <t>R. Pueblo Seco 154 kV</t>
  </si>
  <si>
    <t>R. Puerto Montt 1</t>
  </si>
  <si>
    <t>R. Puerto Montt 23 kV (T33)</t>
  </si>
  <si>
    <t>R. Puerto Montt 23 kV (T44)</t>
  </si>
  <si>
    <t>R. Pullinque 66 kV</t>
  </si>
  <si>
    <t>R. Pumahue 2 66 kV</t>
  </si>
  <si>
    <t>R. Punitaqui</t>
  </si>
  <si>
    <t>R. Punta Peuco</t>
  </si>
  <si>
    <t>R. PuntaCortes 4</t>
  </si>
  <si>
    <t>R. Puquillay 66 kV</t>
  </si>
  <si>
    <t>R. Purranque 66 kV</t>
  </si>
  <si>
    <t>R. Q. Tilcoco 1 66 kV</t>
  </si>
  <si>
    <t>R. Q. Tilcoco 2 66 kV</t>
  </si>
  <si>
    <t>R. Quellon 1 23 kV</t>
  </si>
  <si>
    <t>R. Quellon 2 23 kV</t>
  </si>
  <si>
    <t>R. Quellon 3 23 kV</t>
  </si>
  <si>
    <t>R. Quilmo 66 kV</t>
  </si>
  <si>
    <t>R. Quilmo II 66 kV</t>
  </si>
  <si>
    <t>R. Quinta 1 66 kV</t>
  </si>
  <si>
    <t>R. Quinta 2 66 kV</t>
  </si>
  <si>
    <t>R. Quintay</t>
  </si>
  <si>
    <t>R. Quintero + M. Maitenes 110 kV 1</t>
  </si>
  <si>
    <t>R. Quintero + M. Maitenes 110 kV 2</t>
  </si>
  <si>
    <t>R. Quirihue 33 kV 1</t>
  </si>
  <si>
    <t>R. Quirihue 33 kV 2</t>
  </si>
  <si>
    <t>R. Ranguili 66 kV 1</t>
  </si>
  <si>
    <t>R. Ranguili 66 kV 2</t>
  </si>
  <si>
    <t>R. Rauquén 66 kV 2</t>
  </si>
  <si>
    <t>R. Recoleta 2</t>
  </si>
  <si>
    <t>R. Recoleta 3</t>
  </si>
  <si>
    <t>R. Recoleta 4</t>
  </si>
  <si>
    <t>R. Rosario 66 kV</t>
  </si>
  <si>
    <t>R. Rucue 220 kV</t>
  </si>
  <si>
    <t>R. Rungue 44 kV</t>
  </si>
  <si>
    <t>R. Río Blanco 44 kV</t>
  </si>
  <si>
    <t>R. Río Negro 66 kV</t>
  </si>
  <si>
    <t>R. Salamanca 1 110 kV</t>
  </si>
  <si>
    <t>R. Salamanca 2 110 kV</t>
  </si>
  <si>
    <t>R. San Antonio 110 kV 1</t>
  </si>
  <si>
    <t>R. San Antonio 110 kV 2</t>
  </si>
  <si>
    <t>R. San Bernardo 1</t>
  </si>
  <si>
    <t>R. San Bernardo 2</t>
  </si>
  <si>
    <t>R. San Bernardo 5</t>
  </si>
  <si>
    <t>R. San Carlos 1 66 kV</t>
  </si>
  <si>
    <t>R. San Carlos 2 66 kV</t>
  </si>
  <si>
    <t>R. San Clemente 66 kV</t>
  </si>
  <si>
    <t>R. San Cristobal 3</t>
  </si>
  <si>
    <t>R. San Cristobal 4</t>
  </si>
  <si>
    <t>R. San Cristobal 5</t>
  </si>
  <si>
    <t>R. San Fernando 66 kV</t>
  </si>
  <si>
    <t>R. San Francisco 66 kV</t>
  </si>
  <si>
    <t>R. San Gregorio 66kV 1</t>
  </si>
  <si>
    <t>R. San Gregorio 66kV 2</t>
  </si>
  <si>
    <t>R. San Javier 66 kV</t>
  </si>
  <si>
    <t>R. San Jerónimo 66 kV</t>
  </si>
  <si>
    <t>R. San Joaquin 1 110 kV</t>
  </si>
  <si>
    <t>R. San Joaquin 2 110 kV</t>
  </si>
  <si>
    <t>R. San Joaquin 3 110 kV</t>
  </si>
  <si>
    <t>R. San Jose Maipo</t>
  </si>
  <si>
    <t>R. San Juan 1 66 kV</t>
  </si>
  <si>
    <t>R. San Juan 2 66 kV</t>
  </si>
  <si>
    <t>R. San Miguel 66 kV</t>
  </si>
  <si>
    <t>R. San Pablo 3</t>
  </si>
  <si>
    <t>R. San Pedro 2 66 kV</t>
  </si>
  <si>
    <t>R. San Rafael 110 kV 2</t>
  </si>
  <si>
    <t>R. San Rafael 66 kV</t>
  </si>
  <si>
    <t>R. San Vicente T.T. 66 kV</t>
  </si>
  <si>
    <t>R. Sangra</t>
  </si>
  <si>
    <t>R. Santa Barbara 66 kV</t>
  </si>
  <si>
    <t>R. Santa Cruz 66 kV</t>
  </si>
  <si>
    <t>R. Santa Elena 1</t>
  </si>
  <si>
    <t>R. Santa Elena 4</t>
  </si>
  <si>
    <t>R. Santa Elvira 1 66 kV</t>
  </si>
  <si>
    <t>R. Santa Elvira 2 66 kV</t>
  </si>
  <si>
    <t>R. Santa Marta 4</t>
  </si>
  <si>
    <t>R. Santa Rosa 66 kV</t>
  </si>
  <si>
    <t>R. Santa Rosa Sur 4</t>
  </si>
  <si>
    <t>R. Sauzalito</t>
  </si>
  <si>
    <t>R. Talca 3 66 kV</t>
  </si>
  <si>
    <t>R. Talca 4 66 kV</t>
  </si>
  <si>
    <t>R. Taltal (Elecda) 110 KV</t>
  </si>
  <si>
    <t>R. Temuco_Ampliación</t>
  </si>
  <si>
    <t>R. Teno 13.2 kV</t>
  </si>
  <si>
    <t>R. Termop</t>
  </si>
  <si>
    <t>R. Tierra Amarilla 110 kV</t>
  </si>
  <si>
    <t>R. Tome 1 66 kV</t>
  </si>
  <si>
    <t>R. Tome 2 66 kV</t>
  </si>
  <si>
    <t>R. Totoralillo110 kV</t>
  </si>
  <si>
    <t>R. Traiguén 1 66 kV</t>
  </si>
  <si>
    <t>R. Traiguén 2 66 kV</t>
  </si>
  <si>
    <t>R. Tres Bocas 66 kV</t>
  </si>
  <si>
    <t>R. Tres Esquinas 2 66 kV</t>
  </si>
  <si>
    <t>R. Tres Pinos 1 66 kV</t>
  </si>
  <si>
    <t>R. Tres Pinos 2 66 kV</t>
  </si>
  <si>
    <t>R. Tumbes 66 kV</t>
  </si>
  <si>
    <t>R. Tuniche 66 kV</t>
  </si>
  <si>
    <t>R. Vallenar 2</t>
  </si>
  <si>
    <t>R. Valparaiso 1</t>
  </si>
  <si>
    <t>R. Valparaiso 2</t>
  </si>
  <si>
    <t>R. Victoria 66 kV 1</t>
  </si>
  <si>
    <t>R. Victoria 66 kV 2</t>
  </si>
  <si>
    <t>R. Villa Alegre 66 kV</t>
  </si>
  <si>
    <t>R. Villa Prat 1 66 kV</t>
  </si>
  <si>
    <t>R. Villa Prat 2 66 kV</t>
  </si>
  <si>
    <t>R. Vitacura 2</t>
  </si>
  <si>
    <t>R. Vitacura 3</t>
  </si>
  <si>
    <t>R. Viñales 23 kV</t>
  </si>
  <si>
    <t>R. Yerbas Buenas 154 kV</t>
  </si>
  <si>
    <t>R.Bajos de Mena</t>
  </si>
  <si>
    <t>SE Nueva Ventanas Start Up</t>
  </si>
  <si>
    <t>SS/AA  Los Condores</t>
  </si>
  <si>
    <t>SS/AA Abanico</t>
  </si>
  <si>
    <t>SS/AA Alfalfal</t>
  </si>
  <si>
    <t>SS/AA Campiche</t>
  </si>
  <si>
    <t>SS/AA Colbún G1 13.8  kV</t>
  </si>
  <si>
    <t>SS/AA Colbún G2 13.8  kV</t>
  </si>
  <si>
    <t>SS/AA Comasa 1</t>
  </si>
  <si>
    <t>SS/AA Comasa 2</t>
  </si>
  <si>
    <t>SS/AA Curillinque</t>
  </si>
  <si>
    <t>SS/AA El Toro</t>
  </si>
  <si>
    <t>SS/AA Esmeralda</t>
  </si>
  <si>
    <t>SS/AA Guayacán A.Maipo</t>
  </si>
  <si>
    <t>SS/AA LlanodeLlampos 1</t>
  </si>
  <si>
    <t>SS/AA LlanodeLlampos 2</t>
  </si>
  <si>
    <t>SS/AA Los Guindos I</t>
  </si>
  <si>
    <t>SS/AA Los Guindos II</t>
  </si>
  <si>
    <t>SS/AA Los Molles</t>
  </si>
  <si>
    <t>SS/AA Maitenes</t>
  </si>
  <si>
    <t>SS/AA Nehuenco</t>
  </si>
  <si>
    <t>SS/AA Nueva Ventanas</t>
  </si>
  <si>
    <t>SS/AA Olivos</t>
  </si>
  <si>
    <t>SS/AA Queltehues</t>
  </si>
  <si>
    <t>SS/AA Rapel</t>
  </si>
  <si>
    <t>SS/AA San Isidro</t>
  </si>
  <si>
    <t>SS/AA Sauzalito</t>
  </si>
  <si>
    <t>SS/AA T. Amarilla</t>
  </si>
  <si>
    <t>SS/AA TG1</t>
  </si>
  <si>
    <t>SS/AA TG11</t>
  </si>
  <si>
    <t>SS/AA TG12</t>
  </si>
  <si>
    <t>SS/AA TG1A</t>
  </si>
  <si>
    <t>SS/AA TG1B</t>
  </si>
  <si>
    <t>SS/AA TG2</t>
  </si>
  <si>
    <t>SS/AA TG2A</t>
  </si>
  <si>
    <t>SS/AA TG2B</t>
  </si>
  <si>
    <t>SS/AA TG3</t>
  </si>
  <si>
    <t>SS/AA U14</t>
  </si>
  <si>
    <t>SS/AA U15</t>
  </si>
  <si>
    <t>SS/AA U16</t>
  </si>
  <si>
    <t>SS/AA UGs Tamaya_10 UGs</t>
  </si>
  <si>
    <t>SSAA</t>
  </si>
  <si>
    <t>SSAA CD Arica GMAR</t>
  </si>
  <si>
    <t>SSAA CTA</t>
  </si>
  <si>
    <t>SSAA CTH</t>
  </si>
  <si>
    <t>SSAA Carga Equivalente PH-11(1)</t>
  </si>
  <si>
    <t>SSAA Carga Equivalente PH-12(1)</t>
  </si>
  <si>
    <t>SSAA Carga Equivalente PH-21(1)</t>
  </si>
  <si>
    <t>SSAA Carga Equivalente PH-22(1)</t>
  </si>
  <si>
    <t>SSAA Carga General</t>
  </si>
  <si>
    <t>SSAA Carga General(1)</t>
  </si>
  <si>
    <t>SSAA Gen VDLV 1</t>
  </si>
  <si>
    <t>SSAA Gen VDLV 2</t>
  </si>
  <si>
    <t>SSAA IEM 1 y 2</t>
  </si>
  <si>
    <t>SSAA M1AR 1-2-3</t>
  </si>
  <si>
    <t>SSAA M2AR 1-2</t>
  </si>
  <si>
    <t>SSAA Maria Elena</t>
  </si>
  <si>
    <t>SSAA PFV WILLKA</t>
  </si>
  <si>
    <t>SSAA Pilmaiquen 1-2-3(1)</t>
  </si>
  <si>
    <t>SSAA Pilmaiquen 4-5(1)</t>
  </si>
  <si>
    <t>SSAA Pullinque 2</t>
  </si>
  <si>
    <t>SSAA Pullinque G1</t>
  </si>
  <si>
    <t>SSAA VALLE ESCONDIDO</t>
  </si>
  <si>
    <t>Servicios Auxiliares BESS Arica</t>
  </si>
  <si>
    <t>zSADI</t>
  </si>
  <si>
    <t>C. Alto Norte B1 #1 UFR</t>
  </si>
  <si>
    <t>C. Alto Norte B1 #2 UFR</t>
  </si>
  <si>
    <t>C. Alto Norte B2 #1 UFR</t>
  </si>
  <si>
    <t>C. Alto Norte B2 #2 UFR</t>
  </si>
  <si>
    <t>pf_name</t>
  </si>
  <si>
    <t>pf_name_unit</t>
  </si>
  <si>
    <t>SS/A TER Combarbala 1</t>
  </si>
  <si>
    <t>SS/A TER Combarbala 2</t>
  </si>
  <si>
    <t>SS/A TER Combarbala 3</t>
  </si>
  <si>
    <t>SS/A TER Llanos Blancos 1</t>
  </si>
  <si>
    <t>SS/A TER Llanos Blancos 2</t>
  </si>
  <si>
    <t>SS/A TER Llanos Blancos 3</t>
  </si>
  <si>
    <t>SS/A TER Llanos Blancos 4</t>
  </si>
  <si>
    <t>SS/A TER Llanos Blancos 5</t>
  </si>
  <si>
    <t>SS/A TER Llanos Blancos 6</t>
  </si>
  <si>
    <t>SS/A TER Pajonales 1</t>
  </si>
  <si>
    <t>SS/A TER Pajonales 2</t>
  </si>
  <si>
    <t>SS/A TER Pajonales 3</t>
  </si>
  <si>
    <t>SS/A TER Pajonales 4</t>
  </si>
  <si>
    <t>SS/AA BESS Maria Elena</t>
  </si>
  <si>
    <t>SS/AA CD Arica GMAR</t>
  </si>
  <si>
    <t>SS/AA CTA_1</t>
  </si>
  <si>
    <t>SS/AA CTH_1</t>
  </si>
  <si>
    <t>SS/AA HE Rapel_1</t>
  </si>
  <si>
    <t>SS/AA HE Rapel_2</t>
  </si>
  <si>
    <t>SS/AA HP Pullinque</t>
  </si>
  <si>
    <t>SS/AA PE Kallpa</t>
  </si>
  <si>
    <t>SS/AA PEVDLV 2</t>
  </si>
  <si>
    <t>SS/AA San Javier</t>
  </si>
  <si>
    <t>SS/AA San Javier 1</t>
  </si>
  <si>
    <t>SS/AA San Javier 2</t>
  </si>
  <si>
    <t>SS/AA UGs Tamaya</t>
  </si>
  <si>
    <t>TER CR PAJONALES (U1-U56)_N2</t>
  </si>
  <si>
    <t>TER CR PAJONALES (U1-U56)_N3</t>
  </si>
  <si>
    <t>TER CR PAJONALES (U1-U56)_N4</t>
  </si>
  <si>
    <t>BESS_MARIA ELENA</t>
  </si>
  <si>
    <t>HE RAPEL U1</t>
  </si>
  <si>
    <t>HE RAPEL U2</t>
  </si>
  <si>
    <t>PE KALLPA (U1-U9)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</si>
</sst>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A0A0A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2" fontId="0" fillId="0" borderId="0" xfId="0" applyNumberFormat="1"/>
    <xf numFmtId="2" fontId="3" fillId="0" borderId="0" xfId="0" applyNumberFormat="1" applyFont="1"/>
    <xf numFmtId="2" fontId="3" fillId="0" borderId="0" xfId="0" applyNumberFormat="1" applyFont="1" applyAlignment="1">
      <alignment vertical="top"/>
    </xf>
    <xf numFmtId="0" fontId="0" fillId="2" borderId="0" xfId="0" applyFill="1" applyAlignment="1">
      <alignment vertical="top"/>
    </xf>
    <xf numFmtId="2" fontId="0" fillId="2" borderId="0" xfId="0" applyNumberFormat="1" applyFill="1"/>
    <xf numFmtId="2" fontId="3" fillId="2" borderId="0" xfId="0" applyNumberFormat="1" applyFont="1" applyFill="1"/>
    <xf numFmtId="164" fontId="0" fillId="0" borderId="0" xfId="0" applyNumberFormat="1"/>
    <xf numFmtId="0" fontId="0" fillId="2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vertical="top"/>
    </xf>
    <xf numFmtId="0" fontId="0" fillId="0" borderId="0" xfId="0" applyFill="1"/>
    <xf numFmtId="2" fontId="3" fillId="0" borderId="0" xfId="0" applyNumberFormat="1" applyFont="1" applyFill="1"/>
    <xf numFmtId="0" fontId="3" fillId="0" borderId="0" xfId="0" applyFont="1" applyFill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1104-CAFC-4B1A-9D02-0ACDDAE6EEAB}">
  <dimension ref="A1:D130"/>
  <sheetViews>
    <sheetView tabSelected="1" workbookViewId="0">
      <selection activeCell="F32" sqref="F32"/>
    </sheetView>
  </sheetViews>
  <sheetFormatPr defaultRowHeight="15" x14ac:dyDescent="0.25"/>
  <cols>
    <col min="1" max="1" width="35.140625" bestFit="1" customWidth="1"/>
    <col min="2" max="2" width="8" bestFit="1" customWidth="1"/>
    <col min="3" max="3" width="5" bestFit="1" customWidth="1"/>
    <col min="4" max="4" width="34" bestFit="1" customWidth="1"/>
  </cols>
  <sheetData>
    <row r="1" spans="1:4" x14ac:dyDescent="0.25">
      <c r="A1" s="2" t="s">
        <v>1434</v>
      </c>
      <c r="B1" s="2" t="s">
        <v>0</v>
      </c>
      <c r="C1" s="2" t="s">
        <v>1</v>
      </c>
      <c r="D1" s="2" t="s">
        <v>1435</v>
      </c>
    </row>
    <row r="2" spans="1:4" x14ac:dyDescent="0.25">
      <c r="A2" s="16" t="s">
        <v>62</v>
      </c>
      <c r="B2" s="15">
        <v>0.25</v>
      </c>
      <c r="C2">
        <v>0.3</v>
      </c>
      <c r="D2" t="s">
        <v>227</v>
      </c>
    </row>
    <row r="3" spans="1:4" x14ac:dyDescent="0.25">
      <c r="A3" s="16" t="s">
        <v>63</v>
      </c>
      <c r="B3" s="15">
        <v>5.0999999999999996</v>
      </c>
      <c r="C3">
        <v>-0.5</v>
      </c>
      <c r="D3" t="s">
        <v>227</v>
      </c>
    </row>
    <row r="4" spans="1:4" x14ac:dyDescent="0.25">
      <c r="A4" s="16" t="s">
        <v>1436</v>
      </c>
      <c r="B4" s="7">
        <v>0</v>
      </c>
      <c r="C4" s="7">
        <v>0</v>
      </c>
      <c r="D4" t="s">
        <v>224</v>
      </c>
    </row>
    <row r="5" spans="1:4" x14ac:dyDescent="0.25">
      <c r="A5" s="16" t="s">
        <v>1437</v>
      </c>
      <c r="B5" s="7">
        <v>0</v>
      </c>
      <c r="C5" s="7">
        <v>0</v>
      </c>
      <c r="D5" t="s">
        <v>224</v>
      </c>
    </row>
    <row r="6" spans="1:4" x14ac:dyDescent="0.25">
      <c r="A6" s="16" t="s">
        <v>1438</v>
      </c>
      <c r="B6" s="7">
        <v>0</v>
      </c>
      <c r="C6" s="7">
        <v>0</v>
      </c>
      <c r="D6" t="s">
        <v>224</v>
      </c>
    </row>
    <row r="7" spans="1:4" x14ac:dyDescent="0.25">
      <c r="A7" s="16" t="s">
        <v>1439</v>
      </c>
      <c r="B7" s="7">
        <v>0</v>
      </c>
      <c r="C7" s="7">
        <v>0</v>
      </c>
      <c r="D7" t="s">
        <v>227</v>
      </c>
    </row>
    <row r="8" spans="1:4" x14ac:dyDescent="0.25">
      <c r="A8" s="16" t="s">
        <v>1440</v>
      </c>
      <c r="B8" s="7">
        <v>0</v>
      </c>
      <c r="C8" s="7">
        <v>0</v>
      </c>
      <c r="D8" t="s">
        <v>227</v>
      </c>
    </row>
    <row r="9" spans="1:4" x14ac:dyDescent="0.25">
      <c r="A9" s="16" t="s">
        <v>1441</v>
      </c>
      <c r="B9" s="7">
        <v>0</v>
      </c>
      <c r="C9" s="7">
        <v>0</v>
      </c>
      <c r="D9" t="s">
        <v>227</v>
      </c>
    </row>
    <row r="10" spans="1:4" x14ac:dyDescent="0.25">
      <c r="A10" s="16" t="s">
        <v>1442</v>
      </c>
      <c r="B10" s="7">
        <v>0</v>
      </c>
      <c r="C10" s="7">
        <v>0</v>
      </c>
      <c r="D10" t="s">
        <v>227</v>
      </c>
    </row>
    <row r="11" spans="1:4" x14ac:dyDescent="0.25">
      <c r="A11" s="16" t="s">
        <v>1443</v>
      </c>
      <c r="B11" s="7">
        <v>0</v>
      </c>
      <c r="C11" s="7">
        <v>0</v>
      </c>
      <c r="D11" t="s">
        <v>227</v>
      </c>
    </row>
    <row r="12" spans="1:4" x14ac:dyDescent="0.25">
      <c r="A12" s="16" t="s">
        <v>1444</v>
      </c>
      <c r="B12" s="7">
        <v>0</v>
      </c>
      <c r="C12" s="7">
        <v>0</v>
      </c>
      <c r="D12" t="s">
        <v>227</v>
      </c>
    </row>
    <row r="13" spans="1:4" x14ac:dyDescent="0.25">
      <c r="A13" s="16" t="s">
        <v>1445</v>
      </c>
      <c r="B13" s="8">
        <v>0</v>
      </c>
      <c r="C13" s="8">
        <v>0</v>
      </c>
      <c r="D13" s="6" t="s">
        <v>221</v>
      </c>
    </row>
    <row r="14" spans="1:4" x14ac:dyDescent="0.25">
      <c r="A14" s="16" t="s">
        <v>1446</v>
      </c>
      <c r="B14" s="8">
        <v>0</v>
      </c>
      <c r="C14" s="8">
        <v>0</v>
      </c>
      <c r="D14" s="6" t="s">
        <v>1462</v>
      </c>
    </row>
    <row r="15" spans="1:4" x14ac:dyDescent="0.25">
      <c r="A15" s="16" t="s">
        <v>1447</v>
      </c>
      <c r="B15" s="8">
        <v>0</v>
      </c>
      <c r="C15" s="8">
        <v>0</v>
      </c>
      <c r="D15" s="6" t="s">
        <v>1463</v>
      </c>
    </row>
    <row r="16" spans="1:4" x14ac:dyDescent="0.25">
      <c r="A16" s="16" t="s">
        <v>1448</v>
      </c>
      <c r="B16" s="8">
        <v>0</v>
      </c>
      <c r="C16" s="8">
        <v>0</v>
      </c>
      <c r="D16" s="6" t="s">
        <v>1464</v>
      </c>
    </row>
    <row r="17" spans="1:4" x14ac:dyDescent="0.25">
      <c r="A17" s="16" t="s">
        <v>2</v>
      </c>
      <c r="B17" s="15">
        <v>19.600000000000001</v>
      </c>
      <c r="C17">
        <v>9.5</v>
      </c>
      <c r="D17" t="s">
        <v>39</v>
      </c>
    </row>
    <row r="18" spans="1:4" x14ac:dyDescent="0.25">
      <c r="A18" s="16" t="s">
        <v>3</v>
      </c>
      <c r="B18" s="15">
        <v>19.600000000000001</v>
      </c>
      <c r="C18">
        <v>9.5</v>
      </c>
      <c r="D18" t="s">
        <v>40</v>
      </c>
    </row>
    <row r="19" spans="1:4" x14ac:dyDescent="0.25">
      <c r="A19" s="16" t="s">
        <v>64</v>
      </c>
      <c r="B19" s="15">
        <v>0.3</v>
      </c>
      <c r="C19">
        <v>0.1</v>
      </c>
      <c r="D19" t="s">
        <v>179</v>
      </c>
    </row>
    <row r="20" spans="1:4" x14ac:dyDescent="0.25">
      <c r="A20" s="16" t="s">
        <v>65</v>
      </c>
      <c r="B20" s="15">
        <v>0.3</v>
      </c>
      <c r="C20">
        <v>0.1</v>
      </c>
      <c r="D20" t="s">
        <v>180</v>
      </c>
    </row>
    <row r="21" spans="1:4" x14ac:dyDescent="0.25">
      <c r="A21" s="16" t="s">
        <v>66</v>
      </c>
      <c r="B21" s="15">
        <v>0.1</v>
      </c>
      <c r="C21">
        <v>7.0699999999999999E-2</v>
      </c>
      <c r="D21" t="s">
        <v>187</v>
      </c>
    </row>
    <row r="22" spans="1:4" x14ac:dyDescent="0.25">
      <c r="A22" s="16" t="s">
        <v>1449</v>
      </c>
      <c r="B22" s="15">
        <v>0</v>
      </c>
      <c r="C22" s="15">
        <v>0</v>
      </c>
      <c r="D22" t="s">
        <v>1465</v>
      </c>
    </row>
    <row r="23" spans="1:4" x14ac:dyDescent="0.25">
      <c r="A23" s="16" t="s">
        <v>67</v>
      </c>
      <c r="B23" s="15">
        <v>0.1</v>
      </c>
      <c r="C23">
        <v>0</v>
      </c>
      <c r="D23" t="s">
        <v>189</v>
      </c>
    </row>
    <row r="24" spans="1:4" x14ac:dyDescent="0.25">
      <c r="A24" s="16" t="s">
        <v>4</v>
      </c>
      <c r="B24" s="15">
        <v>15.4</v>
      </c>
      <c r="C24">
        <v>8.9</v>
      </c>
      <c r="D24" t="s">
        <v>35</v>
      </c>
    </row>
    <row r="25" spans="1:4" x14ac:dyDescent="0.25">
      <c r="A25" s="16" t="s">
        <v>5</v>
      </c>
      <c r="B25" s="15">
        <v>16.7</v>
      </c>
      <c r="C25">
        <v>10.5</v>
      </c>
      <c r="D25" t="s">
        <v>34</v>
      </c>
    </row>
    <row r="26" spans="1:4" x14ac:dyDescent="0.25">
      <c r="A26" s="16" t="s">
        <v>1450</v>
      </c>
      <c r="B26" s="7">
        <v>2.7</v>
      </c>
      <c r="C26" s="7">
        <v>1.2</v>
      </c>
      <c r="D26" t="s">
        <v>188</v>
      </c>
    </row>
    <row r="27" spans="1:4" x14ac:dyDescent="0.25">
      <c r="A27" s="16" t="s">
        <v>58</v>
      </c>
      <c r="B27" s="15">
        <v>4</v>
      </c>
      <c r="C27">
        <v>1.2</v>
      </c>
      <c r="D27" t="s">
        <v>59</v>
      </c>
    </row>
    <row r="28" spans="1:4" x14ac:dyDescent="0.25">
      <c r="A28" s="16" t="s">
        <v>53</v>
      </c>
      <c r="B28" s="15">
        <v>3.1</v>
      </c>
      <c r="C28">
        <v>-0.8</v>
      </c>
      <c r="D28" t="s">
        <v>52</v>
      </c>
    </row>
    <row r="29" spans="1:4" x14ac:dyDescent="0.25">
      <c r="A29" s="16" t="s">
        <v>1451</v>
      </c>
      <c r="B29" s="7">
        <v>3.1</v>
      </c>
      <c r="C29" s="7">
        <v>-0.8</v>
      </c>
      <c r="D29" t="s">
        <v>52</v>
      </c>
    </row>
    <row r="30" spans="1:4" x14ac:dyDescent="0.25">
      <c r="A30" s="16" t="s">
        <v>57</v>
      </c>
      <c r="B30" s="7">
        <v>3.1</v>
      </c>
      <c r="C30" s="7">
        <v>-1.3</v>
      </c>
      <c r="D30" t="s">
        <v>56</v>
      </c>
    </row>
    <row r="31" spans="1:4" x14ac:dyDescent="0.25">
      <c r="A31" s="16" t="s">
        <v>1452</v>
      </c>
      <c r="B31" s="7">
        <v>3.1</v>
      </c>
      <c r="C31" s="7">
        <v>-1.3</v>
      </c>
      <c r="D31" t="s">
        <v>56</v>
      </c>
    </row>
    <row r="32" spans="1:4" x14ac:dyDescent="0.25">
      <c r="A32" s="16" t="s">
        <v>15</v>
      </c>
      <c r="B32" s="7">
        <v>3.1</v>
      </c>
      <c r="C32" s="7">
        <v>-1.3</v>
      </c>
      <c r="D32" t="s">
        <v>56</v>
      </c>
    </row>
    <row r="33" spans="1:4" x14ac:dyDescent="0.25">
      <c r="A33" s="16" t="s">
        <v>16</v>
      </c>
      <c r="B33" s="15">
        <v>11</v>
      </c>
      <c r="C33">
        <v>8</v>
      </c>
      <c r="D33" t="s">
        <v>55</v>
      </c>
    </row>
    <row r="34" spans="1:4" x14ac:dyDescent="0.25">
      <c r="A34" s="16" t="s">
        <v>70</v>
      </c>
      <c r="B34" s="15">
        <v>1.3</v>
      </c>
      <c r="C34">
        <v>0.8</v>
      </c>
      <c r="D34" t="s">
        <v>181</v>
      </c>
    </row>
    <row r="35" spans="1:4" x14ac:dyDescent="0.25">
      <c r="A35" s="16" t="s">
        <v>71</v>
      </c>
      <c r="B35" s="15">
        <v>1.3</v>
      </c>
      <c r="C35">
        <v>0.8</v>
      </c>
      <c r="D35" t="s">
        <v>182</v>
      </c>
    </row>
    <row r="36" spans="1:4" x14ac:dyDescent="0.25">
      <c r="A36" s="16" t="s">
        <v>9</v>
      </c>
      <c r="B36" s="15">
        <v>5.2</v>
      </c>
      <c r="C36">
        <v>1.9</v>
      </c>
      <c r="D36" t="s">
        <v>156</v>
      </c>
    </row>
    <row r="37" spans="1:4" x14ac:dyDescent="0.25">
      <c r="A37" s="16" t="s">
        <v>10</v>
      </c>
      <c r="B37" s="15">
        <v>5.2</v>
      </c>
      <c r="C37">
        <v>1.8</v>
      </c>
      <c r="D37" t="s">
        <v>157</v>
      </c>
    </row>
    <row r="38" spans="1:4" x14ac:dyDescent="0.25">
      <c r="A38" s="16" t="s">
        <v>11</v>
      </c>
      <c r="B38" s="15">
        <v>7.6</v>
      </c>
      <c r="C38">
        <v>-5.7</v>
      </c>
      <c r="D38" t="s">
        <v>158</v>
      </c>
    </row>
    <row r="39" spans="1:4" x14ac:dyDescent="0.25">
      <c r="A39" s="16" t="s">
        <v>12</v>
      </c>
      <c r="B39" s="15">
        <v>5.2</v>
      </c>
      <c r="C39">
        <v>1.7</v>
      </c>
      <c r="D39" t="s">
        <v>159</v>
      </c>
    </row>
    <row r="40" spans="1:4" x14ac:dyDescent="0.25">
      <c r="A40" s="16" t="s">
        <v>13</v>
      </c>
      <c r="B40" s="15">
        <v>9.6999999999999993</v>
      </c>
      <c r="C40">
        <v>3.188237</v>
      </c>
      <c r="D40" t="s">
        <v>160</v>
      </c>
    </row>
    <row r="41" spans="1:4" x14ac:dyDescent="0.25">
      <c r="A41" s="16" t="s">
        <v>72</v>
      </c>
      <c r="B41" s="15">
        <v>10</v>
      </c>
      <c r="C41">
        <v>-2</v>
      </c>
      <c r="D41" t="s">
        <v>164</v>
      </c>
    </row>
    <row r="42" spans="1:4" x14ac:dyDescent="0.25">
      <c r="A42" s="16" t="s">
        <v>73</v>
      </c>
      <c r="B42" s="15">
        <v>10</v>
      </c>
      <c r="C42">
        <v>-2</v>
      </c>
      <c r="D42" t="s">
        <v>165</v>
      </c>
    </row>
    <row r="43" spans="1:4" x14ac:dyDescent="0.25">
      <c r="A43" s="16" t="s">
        <v>1453</v>
      </c>
      <c r="B43" s="15">
        <v>0</v>
      </c>
      <c r="C43">
        <v>0</v>
      </c>
      <c r="D43" t="s">
        <v>1466</v>
      </c>
    </row>
    <row r="44" spans="1:4" x14ac:dyDescent="0.25">
      <c r="A44" s="16" t="s">
        <v>1454</v>
      </c>
      <c r="B44" s="15">
        <v>0</v>
      </c>
      <c r="C44">
        <v>0</v>
      </c>
      <c r="D44" t="s">
        <v>1467</v>
      </c>
    </row>
    <row r="45" spans="1:4" x14ac:dyDescent="0.25">
      <c r="A45" s="16" t="s">
        <v>76</v>
      </c>
      <c r="B45" s="15">
        <v>0</v>
      </c>
      <c r="C45">
        <v>0</v>
      </c>
      <c r="D45" t="s">
        <v>194</v>
      </c>
    </row>
    <row r="46" spans="1:4" x14ac:dyDescent="0.25">
      <c r="A46" s="16" t="s">
        <v>78</v>
      </c>
      <c r="B46" s="15">
        <v>0.2059</v>
      </c>
      <c r="C46">
        <v>0</v>
      </c>
      <c r="D46" t="s">
        <v>196</v>
      </c>
    </row>
    <row r="47" spans="1:4" x14ac:dyDescent="0.25">
      <c r="A47" s="16" t="s">
        <v>79</v>
      </c>
      <c r="B47" s="15">
        <v>1.1000000000000001</v>
      </c>
      <c r="C47">
        <v>-0.8</v>
      </c>
      <c r="D47" t="s">
        <v>197</v>
      </c>
    </row>
    <row r="48" spans="1:4" x14ac:dyDescent="0.25">
      <c r="A48" s="16" t="s">
        <v>80</v>
      </c>
      <c r="B48" s="15">
        <v>0</v>
      </c>
      <c r="C48">
        <v>0</v>
      </c>
      <c r="D48" t="s">
        <v>169</v>
      </c>
    </row>
    <row r="49" spans="1:4" x14ac:dyDescent="0.25">
      <c r="A49" s="16" t="s">
        <v>81</v>
      </c>
      <c r="B49" s="15">
        <v>0</v>
      </c>
      <c r="C49" s="17">
        <v>0</v>
      </c>
      <c r="D49" s="17" t="s">
        <v>195</v>
      </c>
    </row>
    <row r="50" spans="1:4" x14ac:dyDescent="0.25">
      <c r="A50" s="16" t="s">
        <v>1455</v>
      </c>
      <c r="B50" s="18">
        <v>0.11</v>
      </c>
      <c r="C50" s="18">
        <v>1.7276300000000001E-2</v>
      </c>
      <c r="D50" s="19" t="s">
        <v>198</v>
      </c>
    </row>
    <row r="51" spans="1:4" x14ac:dyDescent="0.25">
      <c r="A51" s="16" t="s">
        <v>85</v>
      </c>
      <c r="B51" s="18">
        <v>0.11</v>
      </c>
      <c r="C51" s="18">
        <v>1.7276300000000001E-2</v>
      </c>
      <c r="D51" s="19" t="s">
        <v>200</v>
      </c>
    </row>
    <row r="52" spans="1:4" x14ac:dyDescent="0.25">
      <c r="A52" s="16" t="s">
        <v>36</v>
      </c>
      <c r="B52" s="15">
        <v>19.600000000000001</v>
      </c>
      <c r="C52" s="17">
        <v>14.4</v>
      </c>
      <c r="D52" s="17" t="s">
        <v>37</v>
      </c>
    </row>
    <row r="53" spans="1:4" x14ac:dyDescent="0.25">
      <c r="A53" s="16" t="s">
        <v>6</v>
      </c>
      <c r="B53" s="15">
        <v>3.1850000000000001</v>
      </c>
      <c r="C53">
        <v>2.0990000000000002</v>
      </c>
      <c r="D53" t="s">
        <v>41</v>
      </c>
    </row>
    <row r="54" spans="1:4" x14ac:dyDescent="0.25">
      <c r="A54" s="16" t="s">
        <v>7</v>
      </c>
      <c r="B54" s="15">
        <v>3.1850000000000001</v>
      </c>
      <c r="C54">
        <v>2.0990000000000002</v>
      </c>
      <c r="D54" t="s">
        <v>42</v>
      </c>
    </row>
    <row r="55" spans="1:4" x14ac:dyDescent="0.25">
      <c r="A55" s="16" t="s">
        <v>8</v>
      </c>
      <c r="B55" s="15">
        <v>7.44</v>
      </c>
      <c r="C55">
        <v>4.99</v>
      </c>
      <c r="D55" t="s">
        <v>43</v>
      </c>
    </row>
    <row r="56" spans="1:4" x14ac:dyDescent="0.25">
      <c r="A56" s="16" t="s">
        <v>27</v>
      </c>
      <c r="B56" s="15">
        <v>0</v>
      </c>
      <c r="C56">
        <v>0</v>
      </c>
      <c r="D56" t="s">
        <v>26</v>
      </c>
    </row>
    <row r="57" spans="1:4" x14ac:dyDescent="0.25">
      <c r="A57" s="16" t="s">
        <v>28</v>
      </c>
      <c r="B57" s="15">
        <v>0</v>
      </c>
      <c r="C57">
        <v>0</v>
      </c>
      <c r="D57" t="s">
        <v>29</v>
      </c>
    </row>
    <row r="58" spans="1:4" x14ac:dyDescent="0.25">
      <c r="A58" s="16" t="s">
        <v>31</v>
      </c>
      <c r="B58" s="15">
        <v>0</v>
      </c>
      <c r="C58">
        <v>0</v>
      </c>
      <c r="D58" t="s">
        <v>33</v>
      </c>
    </row>
    <row r="59" spans="1:4" x14ac:dyDescent="0.25">
      <c r="A59" s="16" t="s">
        <v>30</v>
      </c>
      <c r="B59" s="15">
        <v>0</v>
      </c>
      <c r="C59">
        <v>0</v>
      </c>
      <c r="D59" t="s">
        <v>32</v>
      </c>
    </row>
    <row r="60" spans="1:4" x14ac:dyDescent="0.25">
      <c r="A60" s="16" t="s">
        <v>86</v>
      </c>
      <c r="B60" s="15">
        <v>0</v>
      </c>
      <c r="C60">
        <v>0</v>
      </c>
      <c r="D60" t="s">
        <v>202</v>
      </c>
    </row>
    <row r="61" spans="1:4" x14ac:dyDescent="0.25">
      <c r="A61" s="16" t="s">
        <v>1456</v>
      </c>
      <c r="B61" s="15">
        <v>0</v>
      </c>
      <c r="C61">
        <v>0</v>
      </c>
      <c r="D61" t="s">
        <v>1468</v>
      </c>
    </row>
    <row r="62" spans="1:4" x14ac:dyDescent="0.25">
      <c r="A62" s="16" t="s">
        <v>87</v>
      </c>
      <c r="B62" s="15">
        <v>0</v>
      </c>
      <c r="C62">
        <v>0</v>
      </c>
      <c r="D62" t="s">
        <v>204</v>
      </c>
    </row>
    <row r="63" spans="1:4" x14ac:dyDescent="0.25">
      <c r="A63" s="16" t="s">
        <v>88</v>
      </c>
      <c r="B63" s="15">
        <v>9.851E-2</v>
      </c>
      <c r="C63">
        <v>0</v>
      </c>
      <c r="D63" t="s">
        <v>203</v>
      </c>
    </row>
    <row r="64" spans="1:4" x14ac:dyDescent="0.25">
      <c r="A64" s="16" t="s">
        <v>88</v>
      </c>
      <c r="B64" s="15">
        <v>9.851E-2</v>
      </c>
      <c r="C64">
        <v>0</v>
      </c>
      <c r="D64" t="s">
        <v>203</v>
      </c>
    </row>
    <row r="65" spans="1:4" x14ac:dyDescent="0.25">
      <c r="A65" s="16" t="s">
        <v>88</v>
      </c>
      <c r="B65" s="15">
        <v>9.851E-2</v>
      </c>
      <c r="C65">
        <v>0</v>
      </c>
      <c r="D65" t="s">
        <v>203</v>
      </c>
    </row>
    <row r="66" spans="1:4" x14ac:dyDescent="0.25">
      <c r="A66" s="16" t="s">
        <v>89</v>
      </c>
      <c r="B66" s="15">
        <v>0.06</v>
      </c>
      <c r="C66">
        <v>0</v>
      </c>
      <c r="D66" t="s">
        <v>177</v>
      </c>
    </row>
    <row r="67" spans="1:4" x14ac:dyDescent="0.25">
      <c r="A67" s="16" t="s">
        <v>90</v>
      </c>
      <c r="B67" s="15">
        <v>0</v>
      </c>
      <c r="C67">
        <v>0</v>
      </c>
      <c r="D67" t="s">
        <v>207</v>
      </c>
    </row>
    <row r="68" spans="1:4" x14ac:dyDescent="0.25">
      <c r="A68" s="16" t="s">
        <v>91</v>
      </c>
      <c r="B68" s="15">
        <v>0.55000000000000004</v>
      </c>
      <c r="C68">
        <v>0.1116824</v>
      </c>
      <c r="D68" t="s">
        <v>211</v>
      </c>
    </row>
    <row r="69" spans="1:4" x14ac:dyDescent="0.25">
      <c r="A69" s="16" t="s">
        <v>1457</v>
      </c>
      <c r="B69" s="8">
        <v>0.55000000000000004</v>
      </c>
      <c r="C69" s="8">
        <v>0.1116824</v>
      </c>
      <c r="D69" s="6" t="s">
        <v>211</v>
      </c>
    </row>
    <row r="70" spans="1:4" x14ac:dyDescent="0.25">
      <c r="A70" s="16" t="s">
        <v>92</v>
      </c>
      <c r="B70" s="15">
        <v>0.25</v>
      </c>
      <c r="C70">
        <v>0</v>
      </c>
      <c r="D70" t="s">
        <v>213</v>
      </c>
    </row>
    <row r="71" spans="1:4" x14ac:dyDescent="0.25">
      <c r="A71" s="16" t="s">
        <v>93</v>
      </c>
      <c r="B71" s="15">
        <v>0</v>
      </c>
      <c r="C71">
        <v>0</v>
      </c>
      <c r="D71" t="s">
        <v>214</v>
      </c>
    </row>
    <row r="72" spans="1:4" x14ac:dyDescent="0.25">
      <c r="A72" s="16" t="s">
        <v>94</v>
      </c>
      <c r="B72" s="15">
        <v>0</v>
      </c>
      <c r="C72">
        <v>0</v>
      </c>
      <c r="D72" t="s">
        <v>214</v>
      </c>
    </row>
    <row r="73" spans="1:4" x14ac:dyDescent="0.25">
      <c r="A73" s="16" t="s">
        <v>95</v>
      </c>
      <c r="B73" s="15">
        <v>0.15</v>
      </c>
      <c r="C73">
        <v>0</v>
      </c>
      <c r="D73" t="s">
        <v>208</v>
      </c>
    </row>
    <row r="74" spans="1:4" x14ac:dyDescent="0.25">
      <c r="A74" s="16" t="s">
        <v>97</v>
      </c>
      <c r="B74" s="15">
        <v>2.7099999999999999E-2</v>
      </c>
      <c r="C74">
        <v>0</v>
      </c>
      <c r="D74" t="s">
        <v>216</v>
      </c>
    </row>
    <row r="75" spans="1:4" x14ac:dyDescent="0.25">
      <c r="A75" s="16" t="s">
        <v>98</v>
      </c>
      <c r="B75" s="15">
        <v>0</v>
      </c>
      <c r="C75">
        <v>0</v>
      </c>
      <c r="D75" t="s">
        <v>217</v>
      </c>
    </row>
    <row r="76" spans="1:4" x14ac:dyDescent="0.25">
      <c r="A76" s="16" t="s">
        <v>99</v>
      </c>
      <c r="B76" s="15">
        <v>0</v>
      </c>
      <c r="C76">
        <v>0</v>
      </c>
      <c r="D76" t="s">
        <v>209</v>
      </c>
    </row>
    <row r="77" spans="1:4" x14ac:dyDescent="0.25">
      <c r="A77" s="16" t="s">
        <v>100</v>
      </c>
      <c r="B77" s="15">
        <v>0.246</v>
      </c>
      <c r="C77">
        <v>0</v>
      </c>
      <c r="D77" t="s">
        <v>218</v>
      </c>
    </row>
    <row r="78" spans="1:4" x14ac:dyDescent="0.25">
      <c r="A78" s="16" t="s">
        <v>104</v>
      </c>
      <c r="B78" s="15">
        <v>1.145E-2</v>
      </c>
      <c r="C78">
        <v>5.5999999999999995E-4</v>
      </c>
      <c r="D78" t="s">
        <v>227</v>
      </c>
    </row>
    <row r="79" spans="1:4" x14ac:dyDescent="0.25">
      <c r="A79" s="16" t="s">
        <v>106</v>
      </c>
      <c r="B79" s="15">
        <v>0</v>
      </c>
      <c r="C79">
        <v>0</v>
      </c>
      <c r="D79" t="s">
        <v>227</v>
      </c>
    </row>
    <row r="80" spans="1:4" x14ac:dyDescent="0.25">
      <c r="A80" s="16" t="s">
        <v>107</v>
      </c>
      <c r="B80" s="15">
        <v>0.19058</v>
      </c>
      <c r="C80">
        <v>4.2299999999999997E-2</v>
      </c>
      <c r="D80" t="s">
        <v>227</v>
      </c>
    </row>
    <row r="81" spans="1:4" x14ac:dyDescent="0.25">
      <c r="A81" s="16" t="s">
        <v>108</v>
      </c>
      <c r="B81" s="15">
        <v>0</v>
      </c>
      <c r="C81">
        <v>0</v>
      </c>
      <c r="D81" t="s">
        <v>224</v>
      </c>
    </row>
    <row r="82" spans="1:4" x14ac:dyDescent="0.25">
      <c r="A82" s="16" t="s">
        <v>110</v>
      </c>
      <c r="B82" s="15">
        <v>0</v>
      </c>
      <c r="C82">
        <v>0</v>
      </c>
      <c r="D82" t="s">
        <v>227</v>
      </c>
    </row>
    <row r="83" spans="1:4" x14ac:dyDescent="0.25">
      <c r="A83" s="16" t="s">
        <v>112</v>
      </c>
      <c r="B83" s="15">
        <v>5.4</v>
      </c>
      <c r="C83">
        <v>-0.6</v>
      </c>
      <c r="D83" t="s">
        <v>227</v>
      </c>
    </row>
    <row r="84" spans="1:4" x14ac:dyDescent="0.25">
      <c r="A84" s="16" t="s">
        <v>113</v>
      </c>
      <c r="B84" s="15">
        <v>1.3</v>
      </c>
      <c r="C84">
        <v>-1.8</v>
      </c>
      <c r="D84" t="s">
        <v>227</v>
      </c>
    </row>
    <row r="85" spans="1:4" x14ac:dyDescent="0.25">
      <c r="A85" s="16" t="s">
        <v>114</v>
      </c>
      <c r="B85" s="15">
        <v>6.9</v>
      </c>
      <c r="C85">
        <v>-5.9</v>
      </c>
      <c r="D85" t="s">
        <v>227</v>
      </c>
    </row>
    <row r="86" spans="1:4" x14ac:dyDescent="0.25">
      <c r="A86" s="16" t="s">
        <v>115</v>
      </c>
      <c r="B86" s="15">
        <v>0.5</v>
      </c>
      <c r="C86">
        <v>0.2</v>
      </c>
      <c r="D86" t="s">
        <v>227</v>
      </c>
    </row>
    <row r="87" spans="1:4" x14ac:dyDescent="0.25">
      <c r="A87" s="16" t="s">
        <v>116</v>
      </c>
      <c r="B87" s="15">
        <v>1.2</v>
      </c>
      <c r="C87">
        <v>0.1</v>
      </c>
      <c r="D87" t="s">
        <v>227</v>
      </c>
    </row>
    <row r="88" spans="1:4" x14ac:dyDescent="0.25">
      <c r="A88" s="16" t="s">
        <v>117</v>
      </c>
      <c r="B88" s="15">
        <v>5.6</v>
      </c>
      <c r="C88">
        <v>0.9</v>
      </c>
      <c r="D88" t="s">
        <v>227</v>
      </c>
    </row>
    <row r="89" spans="1:4" x14ac:dyDescent="0.25">
      <c r="A89" s="16" t="s">
        <v>119</v>
      </c>
      <c r="B89" s="15">
        <v>0</v>
      </c>
      <c r="C89">
        <v>0</v>
      </c>
      <c r="D89" t="s">
        <v>227</v>
      </c>
    </row>
    <row r="90" spans="1:4" x14ac:dyDescent="0.25">
      <c r="A90" s="16" t="s">
        <v>121</v>
      </c>
      <c r="B90" s="15">
        <v>0</v>
      </c>
      <c r="C90">
        <v>0</v>
      </c>
      <c r="D90" t="s">
        <v>227</v>
      </c>
    </row>
    <row r="91" spans="1:4" x14ac:dyDescent="0.25">
      <c r="A91" s="16" t="s">
        <v>122</v>
      </c>
      <c r="B91" s="15">
        <v>0</v>
      </c>
      <c r="C91">
        <v>0</v>
      </c>
      <c r="D91" t="s">
        <v>227</v>
      </c>
    </row>
    <row r="92" spans="1:4" x14ac:dyDescent="0.25">
      <c r="A92" s="16" t="s">
        <v>123</v>
      </c>
      <c r="B92" s="15">
        <v>0</v>
      </c>
      <c r="C92">
        <v>0</v>
      </c>
      <c r="D92" t="s">
        <v>227</v>
      </c>
    </row>
    <row r="93" spans="1:4" x14ac:dyDescent="0.25">
      <c r="A93" s="16" t="s">
        <v>126</v>
      </c>
      <c r="B93" s="15">
        <v>0.52561000000000002</v>
      </c>
      <c r="C93">
        <v>-0.1</v>
      </c>
      <c r="D93" t="s">
        <v>227</v>
      </c>
    </row>
    <row r="94" spans="1:4" x14ac:dyDescent="0.25">
      <c r="A94" s="16" t="s">
        <v>129</v>
      </c>
      <c r="B94" s="15">
        <v>4.3</v>
      </c>
      <c r="C94">
        <v>1</v>
      </c>
      <c r="D94" t="s">
        <v>227</v>
      </c>
    </row>
    <row r="95" spans="1:4" x14ac:dyDescent="0.25">
      <c r="A95" s="16" t="s">
        <v>1458</v>
      </c>
      <c r="B95" s="7">
        <v>0</v>
      </c>
      <c r="C95" s="7">
        <v>0</v>
      </c>
      <c r="D95" t="s">
        <v>225</v>
      </c>
    </row>
    <row r="96" spans="1:4" x14ac:dyDescent="0.25">
      <c r="A96" s="16" t="s">
        <v>1459</v>
      </c>
      <c r="B96" s="7">
        <v>0</v>
      </c>
      <c r="C96" s="7">
        <v>0</v>
      </c>
      <c r="D96" t="s">
        <v>225</v>
      </c>
    </row>
    <row r="97" spans="1:4" x14ac:dyDescent="0.25">
      <c r="A97" s="16" t="s">
        <v>1460</v>
      </c>
      <c r="B97" s="7">
        <v>0</v>
      </c>
      <c r="C97" s="7">
        <v>0</v>
      </c>
      <c r="D97" t="s">
        <v>225</v>
      </c>
    </row>
    <row r="98" spans="1:4" x14ac:dyDescent="0.25">
      <c r="A98" s="16" t="s">
        <v>131</v>
      </c>
      <c r="B98" s="15">
        <v>15.7</v>
      </c>
      <c r="C98">
        <v>2.84273</v>
      </c>
      <c r="D98" t="s">
        <v>162</v>
      </c>
    </row>
    <row r="99" spans="1:4" x14ac:dyDescent="0.25">
      <c r="A99" s="16" t="s">
        <v>132</v>
      </c>
      <c r="B99" s="15">
        <v>0</v>
      </c>
      <c r="C99">
        <v>0</v>
      </c>
      <c r="D99" t="s">
        <v>190</v>
      </c>
    </row>
    <row r="100" spans="1:4" x14ac:dyDescent="0.25">
      <c r="A100" s="16" t="s">
        <v>133</v>
      </c>
      <c r="B100" s="15">
        <v>0</v>
      </c>
      <c r="C100">
        <v>0</v>
      </c>
      <c r="D100" t="s">
        <v>191</v>
      </c>
    </row>
    <row r="101" spans="1:4" x14ac:dyDescent="0.25">
      <c r="A101" s="16" t="s">
        <v>134</v>
      </c>
      <c r="B101" s="15">
        <v>0</v>
      </c>
      <c r="C101">
        <v>0</v>
      </c>
      <c r="D101" t="s">
        <v>192</v>
      </c>
    </row>
    <row r="102" spans="1:4" x14ac:dyDescent="0.25">
      <c r="A102" s="16" t="s">
        <v>135</v>
      </c>
      <c r="B102" s="15">
        <v>0</v>
      </c>
      <c r="C102">
        <v>0</v>
      </c>
      <c r="D102" t="s">
        <v>193</v>
      </c>
    </row>
    <row r="103" spans="1:4" x14ac:dyDescent="0.25">
      <c r="A103" s="16" t="s">
        <v>136</v>
      </c>
      <c r="B103" s="15">
        <v>12.1</v>
      </c>
      <c r="C103">
        <v>3</v>
      </c>
      <c r="D103" t="s">
        <v>210</v>
      </c>
    </row>
    <row r="104" spans="1:4" x14ac:dyDescent="0.25">
      <c r="A104" s="16" t="s">
        <v>137</v>
      </c>
      <c r="B104" s="15">
        <v>0.3</v>
      </c>
      <c r="C104">
        <v>0.3</v>
      </c>
      <c r="D104" t="s">
        <v>184</v>
      </c>
    </row>
    <row r="105" spans="1:4" x14ac:dyDescent="0.25">
      <c r="A105" s="16" t="s">
        <v>138</v>
      </c>
      <c r="B105" s="15">
        <v>0.3</v>
      </c>
      <c r="C105">
        <v>0.2</v>
      </c>
      <c r="D105" t="s">
        <v>183</v>
      </c>
    </row>
    <row r="106" spans="1:4" x14ac:dyDescent="0.25">
      <c r="A106" s="16" t="s">
        <v>139</v>
      </c>
      <c r="B106" s="15">
        <v>1.26E-2</v>
      </c>
      <c r="C106">
        <v>3.8999999999999998E-3</v>
      </c>
      <c r="D106" t="s">
        <v>219</v>
      </c>
    </row>
    <row r="107" spans="1:4" x14ac:dyDescent="0.25">
      <c r="A107" s="16" t="s">
        <v>140</v>
      </c>
      <c r="B107" s="15">
        <v>0</v>
      </c>
      <c r="C107">
        <v>0</v>
      </c>
      <c r="D107" t="s">
        <v>176</v>
      </c>
    </row>
    <row r="108" spans="1:4" x14ac:dyDescent="0.25">
      <c r="A108" s="16" t="s">
        <v>141</v>
      </c>
      <c r="B108" s="15">
        <v>0</v>
      </c>
      <c r="C108">
        <v>0</v>
      </c>
      <c r="D108" t="s">
        <v>175</v>
      </c>
    </row>
    <row r="109" spans="1:4" x14ac:dyDescent="0.25">
      <c r="A109" s="16" t="s">
        <v>142</v>
      </c>
      <c r="B109" s="15">
        <v>0</v>
      </c>
      <c r="C109">
        <v>0</v>
      </c>
      <c r="D109" t="s">
        <v>168</v>
      </c>
    </row>
    <row r="110" spans="1:4" x14ac:dyDescent="0.25">
      <c r="A110" s="16" t="s">
        <v>143</v>
      </c>
      <c r="B110" s="15">
        <v>13</v>
      </c>
      <c r="C110">
        <v>-5.3</v>
      </c>
      <c r="D110" t="s">
        <v>163</v>
      </c>
    </row>
    <row r="111" spans="1:4" x14ac:dyDescent="0.25">
      <c r="A111" s="16" t="s">
        <v>144</v>
      </c>
      <c r="B111" s="15">
        <v>0</v>
      </c>
      <c r="C111">
        <v>0</v>
      </c>
      <c r="D111" t="s">
        <v>220</v>
      </c>
    </row>
    <row r="112" spans="1:4" x14ac:dyDescent="0.25">
      <c r="A112" s="16" t="s">
        <v>145</v>
      </c>
      <c r="B112" s="15">
        <v>0</v>
      </c>
      <c r="C112">
        <v>0</v>
      </c>
      <c r="D112" t="s">
        <v>221</v>
      </c>
    </row>
    <row r="113" spans="1:4" x14ac:dyDescent="0.25">
      <c r="A113" s="16" t="s">
        <v>146</v>
      </c>
      <c r="B113" s="15">
        <v>0</v>
      </c>
      <c r="C113">
        <v>0</v>
      </c>
      <c r="D113" t="s">
        <v>167</v>
      </c>
    </row>
    <row r="114" spans="1:4" x14ac:dyDescent="0.25">
      <c r="A114" s="16" t="s">
        <v>148</v>
      </c>
      <c r="B114" s="15">
        <v>1.9</v>
      </c>
      <c r="C114">
        <v>1.3430800000000001</v>
      </c>
      <c r="D114" t="s">
        <v>174</v>
      </c>
    </row>
    <row r="115" spans="1:4" x14ac:dyDescent="0.25">
      <c r="A115" s="16" t="s">
        <v>149</v>
      </c>
      <c r="B115" s="15">
        <v>1.804</v>
      </c>
      <c r="C115">
        <v>0.59299999999999997</v>
      </c>
      <c r="D115" t="s">
        <v>170</v>
      </c>
    </row>
    <row r="116" spans="1:4" x14ac:dyDescent="0.25">
      <c r="A116" s="16" t="s">
        <v>150</v>
      </c>
      <c r="B116" s="15">
        <v>0</v>
      </c>
      <c r="C116">
        <v>0</v>
      </c>
      <c r="D116" t="s">
        <v>205</v>
      </c>
    </row>
    <row r="117" spans="1:4" x14ac:dyDescent="0.25">
      <c r="A117" s="16" t="s">
        <v>228</v>
      </c>
      <c r="B117" s="15">
        <v>1.7</v>
      </c>
      <c r="C117">
        <v>-1.3</v>
      </c>
      <c r="D117" t="s">
        <v>23</v>
      </c>
    </row>
    <row r="118" spans="1:4" x14ac:dyDescent="0.25">
      <c r="A118" s="16" t="s">
        <v>151</v>
      </c>
      <c r="B118" s="15">
        <v>0</v>
      </c>
      <c r="C118">
        <v>0</v>
      </c>
      <c r="D118" t="s">
        <v>171</v>
      </c>
    </row>
    <row r="119" spans="1:4" x14ac:dyDescent="0.25">
      <c r="A119" s="16" t="s">
        <v>152</v>
      </c>
      <c r="B119" s="15">
        <v>0</v>
      </c>
      <c r="C119">
        <v>0</v>
      </c>
      <c r="D119" t="s">
        <v>172</v>
      </c>
    </row>
    <row r="120" spans="1:4" x14ac:dyDescent="0.25">
      <c r="A120" s="16" t="s">
        <v>44</v>
      </c>
      <c r="B120" s="15">
        <v>5.8949999999999996</v>
      </c>
      <c r="C120">
        <v>3.87</v>
      </c>
      <c r="D120" t="s">
        <v>45</v>
      </c>
    </row>
    <row r="121" spans="1:4" x14ac:dyDescent="0.25">
      <c r="A121" s="16" t="s">
        <v>47</v>
      </c>
      <c r="B121" s="15">
        <v>0.4</v>
      </c>
      <c r="C121">
        <v>0.25700000000000001</v>
      </c>
      <c r="D121" t="s">
        <v>46</v>
      </c>
    </row>
    <row r="122" spans="1:4" x14ac:dyDescent="0.25">
      <c r="A122" s="16" t="s">
        <v>21</v>
      </c>
      <c r="B122" s="15">
        <v>0.3</v>
      </c>
      <c r="C122">
        <v>-0.3</v>
      </c>
      <c r="D122" t="s">
        <v>22</v>
      </c>
    </row>
    <row r="123" spans="1:4" x14ac:dyDescent="0.25">
      <c r="A123" s="16" t="s">
        <v>48</v>
      </c>
      <c r="B123" s="15">
        <v>6.1</v>
      </c>
      <c r="C123">
        <v>4</v>
      </c>
      <c r="D123" t="s">
        <v>49</v>
      </c>
    </row>
    <row r="124" spans="1:4" x14ac:dyDescent="0.25">
      <c r="A124" s="16" t="s">
        <v>51</v>
      </c>
      <c r="B124" s="15">
        <v>0.4</v>
      </c>
      <c r="C124">
        <v>0.26229999999999998</v>
      </c>
      <c r="D124" t="s">
        <v>50</v>
      </c>
    </row>
    <row r="125" spans="1:4" x14ac:dyDescent="0.25">
      <c r="A125" s="16" t="s">
        <v>25</v>
      </c>
      <c r="B125" s="15">
        <v>0</v>
      </c>
      <c r="C125">
        <v>0</v>
      </c>
      <c r="D125" t="s">
        <v>24</v>
      </c>
    </row>
    <row r="126" spans="1:4" x14ac:dyDescent="0.25">
      <c r="A126" s="16" t="s">
        <v>153</v>
      </c>
      <c r="B126" s="15">
        <v>7.3219999999999993E-2</v>
      </c>
      <c r="C126">
        <v>1.095E-2</v>
      </c>
      <c r="D126" t="s">
        <v>206</v>
      </c>
    </row>
    <row r="127" spans="1:4" x14ac:dyDescent="0.25">
      <c r="A127" s="16" t="s">
        <v>154</v>
      </c>
      <c r="B127" s="15">
        <v>0</v>
      </c>
      <c r="C127">
        <v>0</v>
      </c>
      <c r="D127" t="s">
        <v>173</v>
      </c>
    </row>
    <row r="128" spans="1:4" x14ac:dyDescent="0.25">
      <c r="A128" s="16" t="s">
        <v>155</v>
      </c>
      <c r="B128" s="15">
        <v>0</v>
      </c>
      <c r="C128">
        <v>0</v>
      </c>
      <c r="D128" t="s">
        <v>173</v>
      </c>
    </row>
    <row r="129" spans="1:4" x14ac:dyDescent="0.25">
      <c r="A129" s="16" t="s">
        <v>19</v>
      </c>
      <c r="B129" s="15">
        <v>8.6999999999999993</v>
      </c>
      <c r="C129">
        <v>1.9</v>
      </c>
      <c r="D129" t="s">
        <v>20</v>
      </c>
    </row>
    <row r="130" spans="1:4" x14ac:dyDescent="0.25">
      <c r="A130" s="16" t="s">
        <v>1461</v>
      </c>
      <c r="B130" s="7">
        <v>0</v>
      </c>
      <c r="C130" s="7">
        <v>0</v>
      </c>
      <c r="D130" t="s">
        <v>173</v>
      </c>
    </row>
  </sheetData>
  <conditionalFormatting sqref="A1">
    <cfRule type="duplicateValues" dxfId="14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9BAC-2CF2-4123-A7A6-CF131D875498}">
  <sheetPr filterMode="1"/>
  <dimension ref="A1:H134"/>
  <sheetViews>
    <sheetView workbookViewId="0">
      <selection activeCell="D90" sqref="D90"/>
    </sheetView>
  </sheetViews>
  <sheetFormatPr defaultColWidth="11.42578125" defaultRowHeight="15" x14ac:dyDescent="0.25"/>
  <cols>
    <col min="1" max="1" width="34.85546875" bestFit="1" customWidth="1"/>
    <col min="2" max="3" width="13.5703125" style="7" bestFit="1" customWidth="1"/>
    <col min="4" max="4" width="37" bestFit="1" customWidth="1"/>
    <col min="5" max="6" width="29.85546875" bestFit="1" customWidth="1"/>
  </cols>
  <sheetData>
    <row r="1" spans="1:8" x14ac:dyDescent="0.25">
      <c r="A1" s="2" t="s">
        <v>1434</v>
      </c>
      <c r="B1" s="2" t="s">
        <v>0</v>
      </c>
      <c r="C1" s="2" t="s">
        <v>1</v>
      </c>
      <c r="D1" s="2" t="s">
        <v>1435</v>
      </c>
    </row>
    <row r="2" spans="1:8" hidden="1" x14ac:dyDescent="0.25">
      <c r="A2" s="3" t="s">
        <v>62</v>
      </c>
      <c r="B2" s="7">
        <v>0.25</v>
      </c>
      <c r="C2" s="7">
        <v>0.3</v>
      </c>
      <c r="D2" t="s">
        <v>227</v>
      </c>
    </row>
    <row r="3" spans="1:8" hidden="1" x14ac:dyDescent="0.25">
      <c r="A3" s="3" t="s">
        <v>63</v>
      </c>
      <c r="B3" s="7">
        <v>5.0999999999999996</v>
      </c>
      <c r="C3" s="7">
        <v>-0.5</v>
      </c>
      <c r="D3" t="s">
        <v>227</v>
      </c>
      <c r="E3" s="1"/>
    </row>
    <row r="4" spans="1:8" hidden="1" x14ac:dyDescent="0.25">
      <c r="A4" t="s">
        <v>2</v>
      </c>
      <c r="B4" s="7">
        <v>19.600000000000001</v>
      </c>
      <c r="C4" s="7">
        <v>9.5</v>
      </c>
      <c r="D4" t="s">
        <v>39</v>
      </c>
      <c r="F4" t="s">
        <v>233</v>
      </c>
      <c r="G4" s="7">
        <v>5.6</v>
      </c>
      <c r="H4" s="7">
        <v>-8.1999999999999993</v>
      </c>
    </row>
    <row r="5" spans="1:8" hidden="1" x14ac:dyDescent="0.25">
      <c r="A5" t="s">
        <v>3</v>
      </c>
      <c r="B5" s="7">
        <v>19.600000000000001</v>
      </c>
      <c r="C5" s="7">
        <v>9.5</v>
      </c>
      <c r="D5" t="s">
        <v>40</v>
      </c>
    </row>
    <row r="6" spans="1:8" hidden="1" x14ac:dyDescent="0.25">
      <c r="A6" s="3" t="s">
        <v>64</v>
      </c>
      <c r="B6" s="7">
        <v>0.3</v>
      </c>
      <c r="C6" s="7">
        <v>0.1</v>
      </c>
      <c r="D6" t="s">
        <v>179</v>
      </c>
    </row>
    <row r="7" spans="1:8" hidden="1" x14ac:dyDescent="0.25">
      <c r="A7" s="3" t="s">
        <v>65</v>
      </c>
      <c r="B7" s="7">
        <v>0.3</v>
      </c>
      <c r="C7" s="7">
        <v>0.1</v>
      </c>
      <c r="D7" t="s">
        <v>180</v>
      </c>
    </row>
    <row r="8" spans="1:8" hidden="1" x14ac:dyDescent="0.25">
      <c r="A8" s="3" t="s">
        <v>66</v>
      </c>
      <c r="B8" s="7">
        <v>0.1</v>
      </c>
      <c r="C8" s="7">
        <v>7.0699999999999999E-2</v>
      </c>
      <c r="D8" t="s">
        <v>187</v>
      </c>
    </row>
    <row r="9" spans="1:8" hidden="1" x14ac:dyDescent="0.25">
      <c r="A9" s="10" t="s">
        <v>67</v>
      </c>
      <c r="B9" s="7">
        <v>0.1</v>
      </c>
      <c r="C9" s="7">
        <v>0</v>
      </c>
      <c r="D9" t="s">
        <v>189</v>
      </c>
    </row>
    <row r="10" spans="1:8" hidden="1" x14ac:dyDescent="0.25">
      <c r="A10" s="3" t="s">
        <v>70</v>
      </c>
      <c r="B10" s="7">
        <v>1.3</v>
      </c>
      <c r="C10" s="7">
        <v>0.8</v>
      </c>
      <c r="D10" t="s">
        <v>181</v>
      </c>
    </row>
    <row r="11" spans="1:8" hidden="1" x14ac:dyDescent="0.25">
      <c r="A11" s="3" t="s">
        <v>71</v>
      </c>
      <c r="B11" s="7">
        <v>1.3</v>
      </c>
      <c r="C11" s="7">
        <v>0.8</v>
      </c>
      <c r="D11" t="s">
        <v>182</v>
      </c>
    </row>
    <row r="12" spans="1:8" hidden="1" x14ac:dyDescent="0.25">
      <c r="A12" t="s">
        <v>4</v>
      </c>
      <c r="B12" s="7">
        <v>15.4</v>
      </c>
      <c r="C12" s="7">
        <v>8.9</v>
      </c>
      <c r="D12" t="s">
        <v>35</v>
      </c>
    </row>
    <row r="13" spans="1:8" hidden="1" x14ac:dyDescent="0.25">
      <c r="A13" t="s">
        <v>5</v>
      </c>
      <c r="B13" s="7">
        <v>16.7</v>
      </c>
      <c r="C13" s="7">
        <v>10.5</v>
      </c>
      <c r="D13" t="s">
        <v>34</v>
      </c>
    </row>
    <row r="14" spans="1:8" hidden="1" x14ac:dyDescent="0.25">
      <c r="A14" s="3" t="s">
        <v>68</v>
      </c>
      <c r="B14" s="7">
        <v>2.7</v>
      </c>
      <c r="C14" s="7">
        <v>1.2</v>
      </c>
      <c r="D14" t="s">
        <v>188</v>
      </c>
    </row>
    <row r="15" spans="1:8" hidden="1" x14ac:dyDescent="0.25">
      <c r="A15" s="3" t="s">
        <v>69</v>
      </c>
      <c r="B15" s="7">
        <v>0</v>
      </c>
      <c r="C15" s="7">
        <v>0</v>
      </c>
      <c r="D15" t="s">
        <v>173</v>
      </c>
    </row>
    <row r="16" spans="1:8" hidden="1" x14ac:dyDescent="0.25">
      <c r="A16" t="s">
        <v>58</v>
      </c>
      <c r="B16" s="7">
        <v>4</v>
      </c>
      <c r="C16" s="7">
        <v>1.2</v>
      </c>
      <c r="D16" t="s">
        <v>59</v>
      </c>
    </row>
    <row r="17" spans="1:5" hidden="1" x14ac:dyDescent="0.25">
      <c r="A17" t="s">
        <v>53</v>
      </c>
      <c r="B17" s="7">
        <v>3.1</v>
      </c>
      <c r="C17" s="7">
        <v>-0.8</v>
      </c>
      <c r="D17" t="s">
        <v>52</v>
      </c>
      <c r="E17" s="1"/>
    </row>
    <row r="18" spans="1:5" hidden="1" x14ac:dyDescent="0.25">
      <c r="A18" t="s">
        <v>57</v>
      </c>
      <c r="B18" s="7">
        <v>3.1</v>
      </c>
      <c r="C18" s="7">
        <v>-1.3</v>
      </c>
      <c r="D18" t="s">
        <v>56</v>
      </c>
    </row>
    <row r="19" spans="1:5" hidden="1" x14ac:dyDescent="0.25">
      <c r="A19" t="s">
        <v>15</v>
      </c>
      <c r="B19" s="11">
        <v>11</v>
      </c>
      <c r="C19" s="11">
        <v>8</v>
      </c>
      <c r="D19" t="s">
        <v>54</v>
      </c>
    </row>
    <row r="20" spans="1:5" hidden="1" x14ac:dyDescent="0.25">
      <c r="A20" t="s">
        <v>16</v>
      </c>
      <c r="B20" s="11">
        <v>11</v>
      </c>
      <c r="C20" s="11">
        <v>8</v>
      </c>
      <c r="D20" t="s">
        <v>55</v>
      </c>
    </row>
    <row r="21" spans="1:5" hidden="1" x14ac:dyDescent="0.25">
      <c r="A21" t="s">
        <v>17</v>
      </c>
      <c r="B21" s="11">
        <v>6</v>
      </c>
      <c r="C21" s="11">
        <v>4</v>
      </c>
      <c r="D21" t="s">
        <v>38</v>
      </c>
    </row>
    <row r="22" spans="1:5" hidden="1" x14ac:dyDescent="0.25">
      <c r="A22" t="s">
        <v>18</v>
      </c>
      <c r="B22" s="7">
        <v>5.6</v>
      </c>
      <c r="C22" s="7">
        <v>0.9</v>
      </c>
      <c r="D22" t="s">
        <v>227</v>
      </c>
    </row>
    <row r="23" spans="1:5" hidden="1" x14ac:dyDescent="0.25">
      <c r="A23" t="s">
        <v>9</v>
      </c>
      <c r="B23" s="7">
        <v>5.2</v>
      </c>
      <c r="C23" s="7">
        <v>1.9</v>
      </c>
      <c r="D23" t="s">
        <v>156</v>
      </c>
    </row>
    <row r="24" spans="1:5" hidden="1" x14ac:dyDescent="0.25">
      <c r="A24" t="s">
        <v>10</v>
      </c>
      <c r="B24" s="7">
        <v>5.2</v>
      </c>
      <c r="C24" s="7">
        <v>1.8</v>
      </c>
      <c r="D24" t="s">
        <v>157</v>
      </c>
    </row>
    <row r="25" spans="1:5" hidden="1" x14ac:dyDescent="0.25">
      <c r="A25" t="s">
        <v>11</v>
      </c>
      <c r="B25" s="7">
        <v>7.6</v>
      </c>
      <c r="C25" s="7">
        <v>-5.7</v>
      </c>
      <c r="D25" t="s">
        <v>158</v>
      </c>
    </row>
    <row r="26" spans="1:5" hidden="1" x14ac:dyDescent="0.25">
      <c r="A26" t="s">
        <v>12</v>
      </c>
      <c r="B26" s="7">
        <v>5.2</v>
      </c>
      <c r="C26" s="7">
        <v>1.7</v>
      </c>
      <c r="D26" t="s">
        <v>159</v>
      </c>
    </row>
    <row r="27" spans="1:5" hidden="1" x14ac:dyDescent="0.25">
      <c r="A27" t="s">
        <v>13</v>
      </c>
      <c r="B27" s="7">
        <v>9.6999999999999993</v>
      </c>
      <c r="C27" s="7">
        <v>3.188237</v>
      </c>
      <c r="D27" t="s">
        <v>160</v>
      </c>
    </row>
    <row r="28" spans="1:5" hidden="1" x14ac:dyDescent="0.25">
      <c r="A28" s="3" t="s">
        <v>72</v>
      </c>
      <c r="B28" s="11">
        <v>10</v>
      </c>
      <c r="C28" s="11">
        <v>-2</v>
      </c>
      <c r="D28" t="s">
        <v>164</v>
      </c>
    </row>
    <row r="29" spans="1:5" hidden="1" x14ac:dyDescent="0.25">
      <c r="A29" s="3" t="s">
        <v>73</v>
      </c>
      <c r="B29" s="11">
        <v>10</v>
      </c>
      <c r="C29" s="11">
        <v>-2</v>
      </c>
      <c r="D29" t="s">
        <v>165</v>
      </c>
    </row>
    <row r="30" spans="1:5" hidden="1" x14ac:dyDescent="0.25">
      <c r="A30" s="3" t="s">
        <v>74</v>
      </c>
      <c r="B30" s="7">
        <v>0</v>
      </c>
      <c r="C30" s="7">
        <v>0</v>
      </c>
      <c r="D30" t="s">
        <v>166</v>
      </c>
    </row>
    <row r="31" spans="1:5" hidden="1" x14ac:dyDescent="0.25">
      <c r="A31" s="3" t="s">
        <v>75</v>
      </c>
      <c r="B31" s="7">
        <v>0.22</v>
      </c>
      <c r="C31" s="7">
        <v>0</v>
      </c>
      <c r="D31" t="s">
        <v>178</v>
      </c>
    </row>
    <row r="32" spans="1:5" hidden="1" x14ac:dyDescent="0.25">
      <c r="A32" s="3" t="s">
        <v>76</v>
      </c>
      <c r="B32" s="7">
        <v>0</v>
      </c>
      <c r="C32" s="7">
        <v>0</v>
      </c>
      <c r="D32" t="s">
        <v>194</v>
      </c>
    </row>
    <row r="33" spans="1:4" x14ac:dyDescent="0.25">
      <c r="A33" s="3" t="s">
        <v>77</v>
      </c>
      <c r="B33" s="7">
        <v>0</v>
      </c>
      <c r="C33" s="7">
        <v>0</v>
      </c>
      <c r="D33" t="s">
        <v>161</v>
      </c>
    </row>
    <row r="34" spans="1:4" hidden="1" x14ac:dyDescent="0.25">
      <c r="A34" s="5" t="s">
        <v>78</v>
      </c>
      <c r="B34" s="8">
        <v>0.2059</v>
      </c>
      <c r="C34" s="8">
        <v>0</v>
      </c>
      <c r="D34" s="6" t="s">
        <v>196</v>
      </c>
    </row>
    <row r="35" spans="1:4" hidden="1" x14ac:dyDescent="0.25">
      <c r="A35" s="5" t="s">
        <v>79</v>
      </c>
      <c r="B35" s="8">
        <v>1.1000000000000001</v>
      </c>
      <c r="C35" s="8">
        <v>-0.8</v>
      </c>
      <c r="D35" s="6" t="s">
        <v>197</v>
      </c>
    </row>
    <row r="36" spans="1:4" hidden="1" x14ac:dyDescent="0.25">
      <c r="A36" s="3" t="s">
        <v>80</v>
      </c>
      <c r="B36" s="7">
        <v>0</v>
      </c>
      <c r="C36" s="7">
        <v>0</v>
      </c>
      <c r="D36" t="s">
        <v>169</v>
      </c>
    </row>
    <row r="37" spans="1:4" hidden="1" x14ac:dyDescent="0.25">
      <c r="A37" s="3" t="s">
        <v>81</v>
      </c>
      <c r="B37" s="7">
        <v>0</v>
      </c>
      <c r="C37" s="7">
        <v>0</v>
      </c>
      <c r="D37" t="s">
        <v>195</v>
      </c>
    </row>
    <row r="38" spans="1:4" hidden="1" x14ac:dyDescent="0.25">
      <c r="A38" s="3" t="s">
        <v>82</v>
      </c>
      <c r="B38" s="7">
        <v>0.11</v>
      </c>
      <c r="C38" s="7">
        <v>1.56E-3</v>
      </c>
      <c r="D38" t="s">
        <v>186</v>
      </c>
    </row>
    <row r="39" spans="1:4" hidden="1" x14ac:dyDescent="0.25">
      <c r="A39" s="3" t="s">
        <v>83</v>
      </c>
      <c r="B39" s="7">
        <v>0.11</v>
      </c>
      <c r="C39" s="7">
        <v>1.56E-3</v>
      </c>
      <c r="D39" t="s">
        <v>185</v>
      </c>
    </row>
    <row r="40" spans="1:4" hidden="1" x14ac:dyDescent="0.25">
      <c r="A40" s="5" t="s">
        <v>84</v>
      </c>
      <c r="B40" s="8">
        <v>0.11</v>
      </c>
      <c r="C40" s="8">
        <v>1.7276300000000001E-2</v>
      </c>
      <c r="D40" s="6" t="s">
        <v>198</v>
      </c>
    </row>
    <row r="41" spans="1:4" hidden="1" x14ac:dyDescent="0.25">
      <c r="A41" s="5" t="s">
        <v>199</v>
      </c>
      <c r="B41" s="12">
        <v>0.11</v>
      </c>
      <c r="C41" s="12">
        <v>1.7276300000000001E-2</v>
      </c>
      <c r="D41" s="6" t="s">
        <v>200</v>
      </c>
    </row>
    <row r="42" spans="1:4" hidden="1" x14ac:dyDescent="0.25">
      <c r="A42" s="5" t="s">
        <v>85</v>
      </c>
      <c r="B42" s="8">
        <v>0</v>
      </c>
      <c r="C42" s="8">
        <v>0</v>
      </c>
      <c r="D42" s="6" t="s">
        <v>201</v>
      </c>
    </row>
    <row r="43" spans="1:4" hidden="1" x14ac:dyDescent="0.25">
      <c r="A43" t="s">
        <v>36</v>
      </c>
      <c r="B43" s="7">
        <v>19.600000000000001</v>
      </c>
      <c r="C43" s="7">
        <v>14.4</v>
      </c>
      <c r="D43" t="s">
        <v>37</v>
      </c>
    </row>
    <row r="44" spans="1:4" hidden="1" x14ac:dyDescent="0.25">
      <c r="A44" t="s">
        <v>6</v>
      </c>
      <c r="B44" s="7">
        <v>3.1850000000000001</v>
      </c>
      <c r="C44" s="7">
        <v>2.0990000000000002</v>
      </c>
      <c r="D44" t="s">
        <v>41</v>
      </c>
    </row>
    <row r="45" spans="1:4" hidden="1" x14ac:dyDescent="0.25">
      <c r="A45" t="s">
        <v>7</v>
      </c>
      <c r="B45" s="7">
        <v>3.1850000000000001</v>
      </c>
      <c r="C45" s="7">
        <v>2.0990000000000002</v>
      </c>
      <c r="D45" t="s">
        <v>42</v>
      </c>
    </row>
    <row r="46" spans="1:4" hidden="1" x14ac:dyDescent="0.25">
      <c r="A46" t="s">
        <v>8</v>
      </c>
      <c r="B46" s="7">
        <v>7.44</v>
      </c>
      <c r="C46" s="7">
        <v>4.99</v>
      </c>
      <c r="D46" t="s">
        <v>43</v>
      </c>
    </row>
    <row r="47" spans="1:4" hidden="1" x14ac:dyDescent="0.25">
      <c r="A47" t="s">
        <v>27</v>
      </c>
      <c r="B47" s="7">
        <v>0</v>
      </c>
      <c r="C47" s="7">
        <v>0</v>
      </c>
      <c r="D47" t="s">
        <v>26</v>
      </c>
    </row>
    <row r="48" spans="1:4" hidden="1" x14ac:dyDescent="0.25">
      <c r="A48" t="s">
        <v>28</v>
      </c>
      <c r="B48" s="7">
        <v>0</v>
      </c>
      <c r="C48" s="7">
        <v>0</v>
      </c>
      <c r="D48" t="s">
        <v>29</v>
      </c>
    </row>
    <row r="49" spans="1:4" hidden="1" x14ac:dyDescent="0.25">
      <c r="A49" t="s">
        <v>31</v>
      </c>
      <c r="B49" s="7">
        <v>0</v>
      </c>
      <c r="C49" s="7">
        <v>0</v>
      </c>
      <c r="D49" t="s">
        <v>33</v>
      </c>
    </row>
    <row r="50" spans="1:4" hidden="1" x14ac:dyDescent="0.25">
      <c r="A50" t="s">
        <v>30</v>
      </c>
      <c r="B50" s="7">
        <v>0</v>
      </c>
      <c r="C50" s="7">
        <v>0</v>
      </c>
      <c r="D50" t="s">
        <v>32</v>
      </c>
    </row>
    <row r="51" spans="1:4" hidden="1" x14ac:dyDescent="0.25">
      <c r="A51" s="5" t="s">
        <v>86</v>
      </c>
      <c r="B51" s="8">
        <v>0</v>
      </c>
      <c r="C51" s="8">
        <v>0</v>
      </c>
      <c r="D51" s="6" t="s">
        <v>202</v>
      </c>
    </row>
    <row r="52" spans="1:4" hidden="1" x14ac:dyDescent="0.25">
      <c r="A52" s="5" t="s">
        <v>87</v>
      </c>
      <c r="B52" s="8">
        <v>0</v>
      </c>
      <c r="C52" s="8">
        <v>0</v>
      </c>
      <c r="D52" s="6" t="s">
        <v>204</v>
      </c>
    </row>
    <row r="53" spans="1:4" hidden="1" x14ac:dyDescent="0.25">
      <c r="A53" t="s">
        <v>229</v>
      </c>
      <c r="B53" s="7">
        <v>9.851E-2</v>
      </c>
      <c r="C53" s="7">
        <v>0</v>
      </c>
      <c r="D53" t="s">
        <v>231</v>
      </c>
    </row>
    <row r="54" spans="1:4" hidden="1" x14ac:dyDescent="0.25">
      <c r="A54" t="s">
        <v>230</v>
      </c>
      <c r="B54" s="7">
        <v>9.851E-2</v>
      </c>
      <c r="C54" s="7">
        <v>0</v>
      </c>
      <c r="D54" t="s">
        <v>232</v>
      </c>
    </row>
    <row r="55" spans="1:4" hidden="1" x14ac:dyDescent="0.25">
      <c r="A55" s="5" t="s">
        <v>88</v>
      </c>
      <c r="B55" s="8">
        <v>9.851E-2</v>
      </c>
      <c r="C55" s="8">
        <v>0</v>
      </c>
      <c r="D55" s="6" t="s">
        <v>203</v>
      </c>
    </row>
    <row r="56" spans="1:4" hidden="1" x14ac:dyDescent="0.25">
      <c r="A56" s="3" t="s">
        <v>89</v>
      </c>
      <c r="B56" s="7">
        <v>0.06</v>
      </c>
      <c r="C56" s="7">
        <v>0</v>
      </c>
      <c r="D56" t="s">
        <v>177</v>
      </c>
    </row>
    <row r="57" spans="1:4" hidden="1" x14ac:dyDescent="0.25">
      <c r="A57" s="5" t="s">
        <v>90</v>
      </c>
      <c r="B57" s="8">
        <v>0</v>
      </c>
      <c r="C57" s="8">
        <v>0</v>
      </c>
      <c r="D57" s="6" t="s">
        <v>207</v>
      </c>
    </row>
    <row r="58" spans="1:4" hidden="1" x14ac:dyDescent="0.25">
      <c r="A58" s="5" t="s">
        <v>91</v>
      </c>
      <c r="B58" s="8">
        <v>0.55000000000000004</v>
      </c>
      <c r="C58" s="8">
        <v>0.1116824</v>
      </c>
      <c r="D58" s="6" t="s">
        <v>211</v>
      </c>
    </row>
    <row r="59" spans="1:4" hidden="1" x14ac:dyDescent="0.25">
      <c r="A59" s="5" t="s">
        <v>226</v>
      </c>
      <c r="B59" s="8">
        <v>0.55000000000000004</v>
      </c>
      <c r="C59" s="8">
        <v>0.1116824</v>
      </c>
      <c r="D59" s="6" t="s">
        <v>212</v>
      </c>
    </row>
    <row r="60" spans="1:4" hidden="1" x14ac:dyDescent="0.25">
      <c r="A60" s="5" t="s">
        <v>92</v>
      </c>
      <c r="B60" s="8">
        <v>0.25</v>
      </c>
      <c r="C60" s="8">
        <v>0</v>
      </c>
      <c r="D60" s="6" t="s">
        <v>213</v>
      </c>
    </row>
    <row r="61" spans="1:4" hidden="1" x14ac:dyDescent="0.25">
      <c r="A61" s="5" t="s">
        <v>93</v>
      </c>
      <c r="B61" s="8">
        <v>0</v>
      </c>
      <c r="C61" s="8">
        <v>0</v>
      </c>
      <c r="D61" s="6" t="s">
        <v>214</v>
      </c>
    </row>
    <row r="62" spans="1:4" hidden="1" x14ac:dyDescent="0.25">
      <c r="A62" s="5" t="s">
        <v>94</v>
      </c>
      <c r="B62" s="8">
        <v>0</v>
      </c>
      <c r="C62" s="8">
        <v>0</v>
      </c>
      <c r="D62" s="6" t="s">
        <v>214</v>
      </c>
    </row>
    <row r="63" spans="1:4" hidden="1" x14ac:dyDescent="0.25">
      <c r="A63" s="5" t="s">
        <v>95</v>
      </c>
      <c r="B63" s="8">
        <v>0.15</v>
      </c>
      <c r="C63" s="8">
        <v>0</v>
      </c>
      <c r="D63" s="6" t="s">
        <v>208</v>
      </c>
    </row>
    <row r="64" spans="1:4" hidden="1" x14ac:dyDescent="0.25">
      <c r="A64" s="5" t="s">
        <v>96</v>
      </c>
      <c r="B64" s="8">
        <v>3.3860000000000001E-2</v>
      </c>
      <c r="C64" s="8">
        <v>0</v>
      </c>
      <c r="D64" s="6" t="s">
        <v>215</v>
      </c>
    </row>
    <row r="65" spans="1:6" hidden="1" x14ac:dyDescent="0.25">
      <c r="A65" t="s">
        <v>60</v>
      </c>
      <c r="B65" s="7">
        <v>0</v>
      </c>
      <c r="C65" s="7">
        <v>0</v>
      </c>
      <c r="D65" t="s">
        <v>61</v>
      </c>
    </row>
    <row r="66" spans="1:6" hidden="1" x14ac:dyDescent="0.25">
      <c r="A66" s="5" t="s">
        <v>97</v>
      </c>
      <c r="B66" s="8">
        <v>2.7099999999999999E-2</v>
      </c>
      <c r="C66" s="8">
        <v>0</v>
      </c>
      <c r="D66" s="6" t="s">
        <v>216</v>
      </c>
    </row>
    <row r="67" spans="1:6" hidden="1" x14ac:dyDescent="0.25">
      <c r="A67" s="5" t="s">
        <v>98</v>
      </c>
      <c r="B67" s="8">
        <v>0</v>
      </c>
      <c r="C67" s="8">
        <v>0</v>
      </c>
      <c r="D67" s="6" t="s">
        <v>217</v>
      </c>
    </row>
    <row r="68" spans="1:6" hidden="1" x14ac:dyDescent="0.25">
      <c r="A68" s="5" t="s">
        <v>99</v>
      </c>
      <c r="B68" s="8">
        <v>0</v>
      </c>
      <c r="C68" s="8">
        <v>0</v>
      </c>
      <c r="D68" s="6" t="s">
        <v>209</v>
      </c>
    </row>
    <row r="69" spans="1:6" hidden="1" x14ac:dyDescent="0.25">
      <c r="A69" s="5" t="s">
        <v>100</v>
      </c>
      <c r="B69" s="8">
        <v>0.246</v>
      </c>
      <c r="C69" s="8">
        <v>0</v>
      </c>
      <c r="D69" s="6" t="s">
        <v>218</v>
      </c>
    </row>
    <row r="70" spans="1:6" hidden="1" x14ac:dyDescent="0.25">
      <c r="A70" s="3" t="s">
        <v>101</v>
      </c>
      <c r="B70" s="7">
        <v>0.26700000000000002</v>
      </c>
      <c r="C70" s="7">
        <v>3.8300000000000001E-2</v>
      </c>
      <c r="D70" t="s">
        <v>227</v>
      </c>
    </row>
    <row r="71" spans="1:6" hidden="1" x14ac:dyDescent="0.25">
      <c r="A71" s="3" t="s">
        <v>102</v>
      </c>
      <c r="B71" s="7">
        <v>3.7523000000000001E-2</v>
      </c>
      <c r="C71" s="7">
        <v>-8.250246E-2</v>
      </c>
      <c r="D71" t="s">
        <v>227</v>
      </c>
    </row>
    <row r="72" spans="1:6" hidden="1" x14ac:dyDescent="0.25">
      <c r="A72" s="3" t="s">
        <v>103</v>
      </c>
      <c r="B72" s="7">
        <v>2.3789999999999999E-2</v>
      </c>
      <c r="C72" s="7">
        <v>1.07E-3</v>
      </c>
      <c r="D72" t="s">
        <v>227</v>
      </c>
    </row>
    <row r="73" spans="1:6" hidden="1" x14ac:dyDescent="0.25">
      <c r="A73" s="3" t="s">
        <v>104</v>
      </c>
      <c r="B73" s="7">
        <v>1.145E-2</v>
      </c>
      <c r="C73" s="7">
        <v>5.5999999999999995E-4</v>
      </c>
      <c r="D73" t="s">
        <v>227</v>
      </c>
    </row>
    <row r="74" spans="1:6" hidden="1" x14ac:dyDescent="0.25">
      <c r="A74" s="3" t="s">
        <v>105</v>
      </c>
      <c r="B74" s="7">
        <v>0.12856000000000001</v>
      </c>
      <c r="C74" s="7">
        <v>3.8E-3</v>
      </c>
      <c r="D74" t="s">
        <v>227</v>
      </c>
    </row>
    <row r="75" spans="1:6" hidden="1" x14ac:dyDescent="0.25">
      <c r="A75" s="3" t="s">
        <v>106</v>
      </c>
      <c r="B75" s="7">
        <v>0</v>
      </c>
      <c r="C75" s="7">
        <v>0</v>
      </c>
      <c r="D75" t="s">
        <v>227</v>
      </c>
    </row>
    <row r="76" spans="1:6" hidden="1" x14ac:dyDescent="0.25">
      <c r="A76" s="3" t="s">
        <v>107</v>
      </c>
      <c r="B76" s="7">
        <v>0.19058</v>
      </c>
      <c r="C76" s="7">
        <v>4.2299999999999997E-2</v>
      </c>
      <c r="D76" t="s">
        <v>227</v>
      </c>
    </row>
    <row r="77" spans="1:6" hidden="1" x14ac:dyDescent="0.25">
      <c r="A77" s="3" t="s">
        <v>108</v>
      </c>
      <c r="B77" s="7">
        <v>0</v>
      </c>
      <c r="C77" s="7">
        <v>0</v>
      </c>
      <c r="D77" t="s">
        <v>224</v>
      </c>
      <c r="E77" s="3"/>
      <c r="F77" s="3"/>
    </row>
    <row r="78" spans="1:6" hidden="1" x14ac:dyDescent="0.25">
      <c r="A78" s="3" t="s">
        <v>109</v>
      </c>
      <c r="B78" s="7">
        <v>9.0899999999999995E-2</v>
      </c>
      <c r="C78" s="7">
        <v>1.43E-2</v>
      </c>
      <c r="D78" t="s">
        <v>227</v>
      </c>
      <c r="E78" s="3"/>
      <c r="F78" s="3"/>
    </row>
    <row r="79" spans="1:6" hidden="1" x14ac:dyDescent="0.25">
      <c r="A79" s="3" t="s">
        <v>110</v>
      </c>
      <c r="B79" s="7">
        <v>0</v>
      </c>
      <c r="C79" s="7">
        <v>0</v>
      </c>
      <c r="D79" t="s">
        <v>227</v>
      </c>
      <c r="E79" s="3"/>
      <c r="F79" s="3"/>
    </row>
    <row r="80" spans="1:6" hidden="1" x14ac:dyDescent="0.25">
      <c r="A80" s="3" t="s">
        <v>111</v>
      </c>
      <c r="B80" s="7">
        <v>3.1119999999999998E-2</v>
      </c>
      <c r="C80" s="7">
        <v>1.3929999999999999E-3</v>
      </c>
      <c r="D80" t="s">
        <v>227</v>
      </c>
      <c r="E80" s="3"/>
      <c r="F80" s="3"/>
    </row>
    <row r="81" spans="1:6" hidden="1" x14ac:dyDescent="0.25">
      <c r="A81" s="3" t="s">
        <v>112</v>
      </c>
      <c r="B81" s="7">
        <v>5.4</v>
      </c>
      <c r="C81" s="7">
        <v>-0.6</v>
      </c>
      <c r="D81" t="s">
        <v>227</v>
      </c>
      <c r="E81" s="3"/>
      <c r="F81" s="3"/>
    </row>
    <row r="82" spans="1:6" hidden="1" x14ac:dyDescent="0.25">
      <c r="A82" s="3" t="s">
        <v>113</v>
      </c>
      <c r="B82" s="7">
        <v>1.3</v>
      </c>
      <c r="C82" s="7">
        <v>-1.8</v>
      </c>
      <c r="D82" t="s">
        <v>227</v>
      </c>
      <c r="E82" s="3"/>
      <c r="F82" s="4"/>
    </row>
    <row r="83" spans="1:6" hidden="1" x14ac:dyDescent="0.25">
      <c r="A83" s="3" t="s">
        <v>114</v>
      </c>
      <c r="B83" s="7">
        <v>6.9</v>
      </c>
      <c r="C83" s="7">
        <v>-5.9</v>
      </c>
      <c r="D83" t="s">
        <v>227</v>
      </c>
      <c r="E83" s="3"/>
      <c r="F83" s="3"/>
    </row>
    <row r="84" spans="1:6" hidden="1" x14ac:dyDescent="0.25">
      <c r="A84" s="3" t="s">
        <v>115</v>
      </c>
      <c r="B84" s="7">
        <v>0.5</v>
      </c>
      <c r="C84" s="7">
        <v>0.2</v>
      </c>
      <c r="D84" t="s">
        <v>227</v>
      </c>
      <c r="E84" s="3"/>
      <c r="F84" s="3"/>
    </row>
    <row r="85" spans="1:6" hidden="1" x14ac:dyDescent="0.25">
      <c r="A85" s="3" t="s">
        <v>116</v>
      </c>
      <c r="B85" s="7">
        <v>1.2</v>
      </c>
      <c r="C85" s="7">
        <v>0.1</v>
      </c>
      <c r="D85" t="s">
        <v>227</v>
      </c>
      <c r="E85" s="3"/>
      <c r="F85" s="3"/>
    </row>
    <row r="86" spans="1:6" hidden="1" x14ac:dyDescent="0.25">
      <c r="A86" s="3" t="s">
        <v>117</v>
      </c>
      <c r="B86" s="7">
        <v>5.6</v>
      </c>
      <c r="C86" s="7">
        <v>0.9</v>
      </c>
      <c r="D86" t="s">
        <v>227</v>
      </c>
      <c r="E86" s="3"/>
      <c r="F86" s="3"/>
    </row>
    <row r="87" spans="1:6" hidden="1" x14ac:dyDescent="0.25">
      <c r="A87" s="3" t="s">
        <v>118</v>
      </c>
      <c r="B87" s="7">
        <v>6.5189999999999996E-3</v>
      </c>
      <c r="C87" s="7">
        <v>6.5189999999999996E-3</v>
      </c>
      <c r="D87" t="s">
        <v>227</v>
      </c>
      <c r="E87" s="3"/>
      <c r="F87" s="3"/>
    </row>
    <row r="88" spans="1:6" hidden="1" x14ac:dyDescent="0.25">
      <c r="A88" s="3" t="s">
        <v>119</v>
      </c>
      <c r="B88" s="7">
        <v>0</v>
      </c>
      <c r="C88" s="7">
        <v>0</v>
      </c>
      <c r="D88" t="s">
        <v>227</v>
      </c>
      <c r="E88" s="3"/>
      <c r="F88" s="3"/>
    </row>
    <row r="89" spans="1:6" hidden="1" x14ac:dyDescent="0.25">
      <c r="A89" s="3" t="s">
        <v>120</v>
      </c>
      <c r="B89" s="7">
        <v>1.5554E-2</v>
      </c>
      <c r="C89" s="7">
        <v>0</v>
      </c>
      <c r="D89" t="s">
        <v>227</v>
      </c>
      <c r="E89" s="3"/>
      <c r="F89" s="3"/>
    </row>
    <row r="90" spans="1:6" x14ac:dyDescent="0.25">
      <c r="A90" s="3" t="s">
        <v>121</v>
      </c>
      <c r="B90" s="7">
        <v>0</v>
      </c>
      <c r="C90" s="7">
        <v>0</v>
      </c>
      <c r="D90" t="s">
        <v>227</v>
      </c>
      <c r="E90" s="3"/>
      <c r="F90" s="3"/>
    </row>
    <row r="91" spans="1:6" x14ac:dyDescent="0.25">
      <c r="A91" s="3" t="s">
        <v>122</v>
      </c>
      <c r="B91" s="7">
        <v>0</v>
      </c>
      <c r="C91" s="7">
        <v>0</v>
      </c>
      <c r="D91" t="s">
        <v>227</v>
      </c>
      <c r="E91" s="3"/>
      <c r="F91" s="3"/>
    </row>
    <row r="92" spans="1:6" hidden="1" x14ac:dyDescent="0.25">
      <c r="A92" s="3" t="s">
        <v>123</v>
      </c>
      <c r="B92" s="7">
        <v>0</v>
      </c>
      <c r="C92" s="7">
        <v>0</v>
      </c>
      <c r="D92" t="s">
        <v>227</v>
      </c>
      <c r="E92" s="3"/>
      <c r="F92" s="3"/>
    </row>
    <row r="93" spans="1:6" hidden="1" x14ac:dyDescent="0.25">
      <c r="A93" s="3" t="s">
        <v>124</v>
      </c>
      <c r="B93" s="7">
        <v>7.1389999999999995E-2</v>
      </c>
      <c r="C93" s="7">
        <v>7.1650000000000004E-3</v>
      </c>
      <c r="D93" t="s">
        <v>227</v>
      </c>
      <c r="E93" s="3"/>
      <c r="F93" s="3"/>
    </row>
    <row r="94" spans="1:6" hidden="1" x14ac:dyDescent="0.25">
      <c r="A94" s="3" t="s">
        <v>125</v>
      </c>
      <c r="B94" s="7">
        <v>0.113469</v>
      </c>
      <c r="C94" s="7">
        <v>2.0379999999999999E-2</v>
      </c>
      <c r="D94" t="s">
        <v>227</v>
      </c>
      <c r="E94" s="3"/>
      <c r="F94" s="3"/>
    </row>
    <row r="95" spans="1:6" hidden="1" x14ac:dyDescent="0.25">
      <c r="A95" s="3" t="s">
        <v>126</v>
      </c>
      <c r="B95" s="7">
        <v>0.52561000000000002</v>
      </c>
      <c r="C95" s="7">
        <v>-0.1</v>
      </c>
      <c r="D95" t="s">
        <v>227</v>
      </c>
      <c r="E95" s="3"/>
      <c r="F95" s="3"/>
    </row>
    <row r="96" spans="1:6" hidden="1" x14ac:dyDescent="0.25">
      <c r="A96" s="3" t="s">
        <v>127</v>
      </c>
      <c r="B96" s="7">
        <v>2.1000000000000001E-2</v>
      </c>
      <c r="C96" s="7">
        <v>0</v>
      </c>
      <c r="D96" t="s">
        <v>227</v>
      </c>
      <c r="E96" s="3"/>
      <c r="F96" s="4"/>
    </row>
    <row r="97" spans="1:6" hidden="1" x14ac:dyDescent="0.25">
      <c r="A97" s="3" t="s">
        <v>223</v>
      </c>
      <c r="B97" s="7">
        <v>0</v>
      </c>
      <c r="C97" s="7">
        <v>0</v>
      </c>
      <c r="D97" t="s">
        <v>225</v>
      </c>
      <c r="E97" s="3"/>
      <c r="F97" s="4"/>
    </row>
    <row r="98" spans="1:6" hidden="1" x14ac:dyDescent="0.25">
      <c r="A98" s="3" t="s">
        <v>128</v>
      </c>
      <c r="B98" s="7">
        <v>0.12</v>
      </c>
      <c r="C98" s="7">
        <v>0</v>
      </c>
      <c r="D98" t="s">
        <v>227</v>
      </c>
      <c r="E98" s="3"/>
      <c r="F98" s="3"/>
    </row>
    <row r="99" spans="1:6" hidden="1" x14ac:dyDescent="0.25">
      <c r="A99" s="3" t="s">
        <v>129</v>
      </c>
      <c r="B99" s="7">
        <v>4.3</v>
      </c>
      <c r="C99" s="7">
        <v>1</v>
      </c>
      <c r="D99" t="s">
        <v>227</v>
      </c>
      <c r="E99" s="3"/>
      <c r="F99" s="3"/>
    </row>
    <row r="100" spans="1:6" hidden="1" x14ac:dyDescent="0.25">
      <c r="A100" s="3" t="s">
        <v>130</v>
      </c>
      <c r="B100" s="7">
        <v>0.23885999999999999</v>
      </c>
      <c r="C100" s="7">
        <v>7.5069999999999998E-2</v>
      </c>
      <c r="D100" t="s">
        <v>227</v>
      </c>
      <c r="E100" s="3"/>
      <c r="F100" s="3"/>
    </row>
    <row r="101" spans="1:6" hidden="1" x14ac:dyDescent="0.25">
      <c r="A101" t="s">
        <v>14</v>
      </c>
      <c r="B101" s="7">
        <v>1.9</v>
      </c>
      <c r="C101" s="7">
        <v>1.3431</v>
      </c>
      <c r="D101" t="s">
        <v>174</v>
      </c>
      <c r="E101" s="3"/>
      <c r="F101" s="3"/>
    </row>
    <row r="102" spans="1:6" hidden="1" x14ac:dyDescent="0.25">
      <c r="A102" s="3" t="s">
        <v>131</v>
      </c>
      <c r="B102" s="7">
        <v>15.7</v>
      </c>
      <c r="C102" s="7">
        <v>2.84273</v>
      </c>
      <c r="D102" t="s">
        <v>162</v>
      </c>
      <c r="E102" s="3"/>
      <c r="F102" s="3"/>
    </row>
    <row r="103" spans="1:6" hidden="1" x14ac:dyDescent="0.25">
      <c r="A103" s="3" t="s">
        <v>132</v>
      </c>
      <c r="B103" s="7">
        <v>0</v>
      </c>
      <c r="C103" s="7">
        <v>0</v>
      </c>
      <c r="D103" s="3" t="s">
        <v>190</v>
      </c>
      <c r="E103" s="3"/>
      <c r="F103" s="3"/>
    </row>
    <row r="104" spans="1:6" hidden="1" x14ac:dyDescent="0.25">
      <c r="A104" s="3" t="s">
        <v>133</v>
      </c>
      <c r="B104" s="7">
        <v>0</v>
      </c>
      <c r="C104" s="7">
        <v>0</v>
      </c>
      <c r="D104" s="3" t="s">
        <v>191</v>
      </c>
      <c r="E104" s="3"/>
      <c r="F104" s="3"/>
    </row>
    <row r="105" spans="1:6" hidden="1" x14ac:dyDescent="0.25">
      <c r="A105" s="3" t="s">
        <v>134</v>
      </c>
      <c r="B105" s="7">
        <v>0</v>
      </c>
      <c r="C105" s="7">
        <v>0</v>
      </c>
      <c r="D105" s="3" t="s">
        <v>192</v>
      </c>
      <c r="E105" s="3"/>
      <c r="F105" s="3"/>
    </row>
    <row r="106" spans="1:6" hidden="1" x14ac:dyDescent="0.25">
      <c r="A106" s="3" t="s">
        <v>135</v>
      </c>
      <c r="B106" s="7">
        <v>0</v>
      </c>
      <c r="C106" s="7">
        <v>0</v>
      </c>
      <c r="D106" s="3" t="s">
        <v>193</v>
      </c>
    </row>
    <row r="107" spans="1:6" hidden="1" x14ac:dyDescent="0.25">
      <c r="A107" s="5" t="s">
        <v>136</v>
      </c>
      <c r="B107" s="8">
        <v>12.1</v>
      </c>
      <c r="C107" s="8">
        <v>3</v>
      </c>
      <c r="D107" s="6" t="s">
        <v>210</v>
      </c>
    </row>
    <row r="108" spans="1:6" hidden="1" x14ac:dyDescent="0.25">
      <c r="A108" s="3" t="s">
        <v>137</v>
      </c>
      <c r="B108" s="7">
        <v>0.3</v>
      </c>
      <c r="C108" s="7">
        <v>0.3</v>
      </c>
      <c r="D108" t="s">
        <v>184</v>
      </c>
    </row>
    <row r="109" spans="1:6" hidden="1" x14ac:dyDescent="0.25">
      <c r="A109" s="3" t="s">
        <v>138</v>
      </c>
      <c r="B109" s="7">
        <v>0.3</v>
      </c>
      <c r="C109" s="7">
        <v>0.2</v>
      </c>
      <c r="D109" t="s">
        <v>183</v>
      </c>
    </row>
    <row r="110" spans="1:6" hidden="1" x14ac:dyDescent="0.25">
      <c r="A110" s="5" t="s">
        <v>139</v>
      </c>
      <c r="B110" s="8">
        <v>1.26E-2</v>
      </c>
      <c r="C110" s="8">
        <v>3.8999999999999998E-3</v>
      </c>
      <c r="D110" s="6" t="s">
        <v>219</v>
      </c>
    </row>
    <row r="111" spans="1:6" hidden="1" x14ac:dyDescent="0.25">
      <c r="A111" s="3" t="s">
        <v>140</v>
      </c>
      <c r="B111" s="7">
        <v>0</v>
      </c>
      <c r="C111" s="7">
        <v>0</v>
      </c>
      <c r="D111" t="s">
        <v>176</v>
      </c>
    </row>
    <row r="112" spans="1:6" hidden="1" x14ac:dyDescent="0.25">
      <c r="A112" s="3" t="s">
        <v>141</v>
      </c>
      <c r="B112" s="7">
        <v>0</v>
      </c>
      <c r="C112" s="7">
        <v>0</v>
      </c>
      <c r="D112" t="s">
        <v>175</v>
      </c>
    </row>
    <row r="113" spans="1:4" hidden="1" x14ac:dyDescent="0.25">
      <c r="A113" s="3" t="s">
        <v>142</v>
      </c>
      <c r="B113" s="7">
        <v>0</v>
      </c>
      <c r="C113" s="7">
        <v>0</v>
      </c>
      <c r="D113" t="s">
        <v>168</v>
      </c>
    </row>
    <row r="114" spans="1:4" hidden="1" x14ac:dyDescent="0.25">
      <c r="A114" s="3" t="s">
        <v>143</v>
      </c>
      <c r="B114" s="7">
        <v>13</v>
      </c>
      <c r="C114" s="7">
        <v>-5.3</v>
      </c>
      <c r="D114" t="s">
        <v>163</v>
      </c>
    </row>
    <row r="115" spans="1:4" hidden="1" x14ac:dyDescent="0.25">
      <c r="A115" s="5" t="s">
        <v>144</v>
      </c>
      <c r="B115" s="8">
        <v>0</v>
      </c>
      <c r="C115" s="8">
        <v>0</v>
      </c>
      <c r="D115" s="6" t="s">
        <v>220</v>
      </c>
    </row>
    <row r="116" spans="1:4" hidden="1" x14ac:dyDescent="0.25">
      <c r="A116" s="5" t="s">
        <v>145</v>
      </c>
      <c r="B116" s="8">
        <v>0</v>
      </c>
      <c r="C116" s="8">
        <v>0</v>
      </c>
      <c r="D116" s="6" t="s">
        <v>221</v>
      </c>
    </row>
    <row r="117" spans="1:4" hidden="1" x14ac:dyDescent="0.25">
      <c r="A117" s="5" t="s">
        <v>153</v>
      </c>
      <c r="B117" s="8">
        <v>7.3219999999999993E-2</v>
      </c>
      <c r="C117" s="9">
        <v>1.095E-2</v>
      </c>
      <c r="D117" s="6" t="s">
        <v>206</v>
      </c>
    </row>
    <row r="118" spans="1:4" hidden="1" x14ac:dyDescent="0.25">
      <c r="A118" s="3" t="s">
        <v>146</v>
      </c>
      <c r="B118" s="7">
        <v>0</v>
      </c>
      <c r="C118" s="7">
        <v>0</v>
      </c>
      <c r="D118" t="s">
        <v>167</v>
      </c>
    </row>
    <row r="119" spans="1:4" hidden="1" x14ac:dyDescent="0.25">
      <c r="A119" s="5" t="s">
        <v>147</v>
      </c>
      <c r="B119" s="8">
        <v>0.10702</v>
      </c>
      <c r="C119" s="9">
        <v>4.79E-3</v>
      </c>
      <c r="D119" s="6" t="s">
        <v>222</v>
      </c>
    </row>
    <row r="120" spans="1:4" hidden="1" x14ac:dyDescent="0.25">
      <c r="A120" s="5" t="s">
        <v>148</v>
      </c>
      <c r="B120" s="8">
        <v>1.9</v>
      </c>
      <c r="C120" s="8">
        <v>1.3430800000000001</v>
      </c>
      <c r="D120" s="6" t="s">
        <v>174</v>
      </c>
    </row>
    <row r="121" spans="1:4" hidden="1" x14ac:dyDescent="0.25">
      <c r="A121" s="3" t="s">
        <v>149</v>
      </c>
      <c r="B121" s="7">
        <v>1.804</v>
      </c>
      <c r="C121" s="7">
        <v>0.59299999999999997</v>
      </c>
      <c r="D121" t="s">
        <v>170</v>
      </c>
    </row>
    <row r="122" spans="1:4" hidden="1" x14ac:dyDescent="0.25">
      <c r="A122" s="5" t="s">
        <v>150</v>
      </c>
      <c r="B122" s="8">
        <v>0</v>
      </c>
      <c r="C122" s="7">
        <v>0</v>
      </c>
      <c r="D122" s="6" t="s">
        <v>205</v>
      </c>
    </row>
    <row r="123" spans="1:4" hidden="1" x14ac:dyDescent="0.25">
      <c r="A123" t="s">
        <v>228</v>
      </c>
      <c r="B123" s="7">
        <v>1.7</v>
      </c>
      <c r="C123" s="7">
        <v>-1.3</v>
      </c>
      <c r="D123" t="s">
        <v>23</v>
      </c>
    </row>
    <row r="124" spans="1:4" hidden="1" x14ac:dyDescent="0.25">
      <c r="A124" s="3" t="s">
        <v>151</v>
      </c>
      <c r="B124" s="7">
        <v>0</v>
      </c>
      <c r="C124" s="7">
        <v>0</v>
      </c>
      <c r="D124" t="s">
        <v>171</v>
      </c>
    </row>
    <row r="125" spans="1:4" hidden="1" x14ac:dyDescent="0.25">
      <c r="A125" s="3" t="s">
        <v>152</v>
      </c>
      <c r="B125" s="7">
        <v>0</v>
      </c>
      <c r="C125" s="7">
        <v>0</v>
      </c>
      <c r="D125" t="s">
        <v>172</v>
      </c>
    </row>
    <row r="126" spans="1:4" hidden="1" x14ac:dyDescent="0.25">
      <c r="A126" t="s">
        <v>44</v>
      </c>
      <c r="B126" s="7">
        <v>5.8949999999999996</v>
      </c>
      <c r="C126" s="7">
        <v>3.87</v>
      </c>
      <c r="D126" t="s">
        <v>45</v>
      </c>
    </row>
    <row r="127" spans="1:4" hidden="1" x14ac:dyDescent="0.25">
      <c r="A127" t="s">
        <v>47</v>
      </c>
      <c r="B127" s="7">
        <v>0.4</v>
      </c>
      <c r="C127" s="7">
        <v>0.25700000000000001</v>
      </c>
      <c r="D127" t="s">
        <v>46</v>
      </c>
    </row>
    <row r="128" spans="1:4" hidden="1" x14ac:dyDescent="0.25">
      <c r="A128" t="s">
        <v>21</v>
      </c>
      <c r="B128" s="7">
        <v>0.3</v>
      </c>
      <c r="C128" s="7">
        <v>-0.3</v>
      </c>
      <c r="D128" t="s">
        <v>22</v>
      </c>
    </row>
    <row r="129" spans="1:4" hidden="1" x14ac:dyDescent="0.25">
      <c r="A129" t="s">
        <v>48</v>
      </c>
      <c r="B129" s="7">
        <v>6.1</v>
      </c>
      <c r="C129" s="7">
        <v>4</v>
      </c>
      <c r="D129" t="s">
        <v>49</v>
      </c>
    </row>
    <row r="130" spans="1:4" hidden="1" x14ac:dyDescent="0.25">
      <c r="A130" t="s">
        <v>51</v>
      </c>
      <c r="B130" s="7">
        <v>0.4</v>
      </c>
      <c r="C130" s="7">
        <v>0.26229999999999998</v>
      </c>
      <c r="D130" t="s">
        <v>50</v>
      </c>
    </row>
    <row r="131" spans="1:4" hidden="1" x14ac:dyDescent="0.25">
      <c r="A131" t="s">
        <v>25</v>
      </c>
      <c r="B131" s="7">
        <v>0</v>
      </c>
      <c r="C131" s="7">
        <v>0</v>
      </c>
      <c r="D131" t="s">
        <v>24</v>
      </c>
    </row>
    <row r="132" spans="1:4" hidden="1" x14ac:dyDescent="0.25">
      <c r="A132" s="3" t="s">
        <v>154</v>
      </c>
      <c r="B132" s="7">
        <v>0</v>
      </c>
      <c r="C132" s="7">
        <v>0</v>
      </c>
    </row>
    <row r="133" spans="1:4" hidden="1" x14ac:dyDescent="0.25">
      <c r="A133" s="3" t="s">
        <v>155</v>
      </c>
      <c r="B133" s="7">
        <v>0</v>
      </c>
      <c r="C133" s="7">
        <v>0</v>
      </c>
    </row>
    <row r="134" spans="1:4" hidden="1" x14ac:dyDescent="0.25">
      <c r="A134" t="s">
        <v>19</v>
      </c>
      <c r="B134" s="7">
        <v>8.6999999999999993</v>
      </c>
      <c r="C134" s="7">
        <v>1.9</v>
      </c>
      <c r="D134" t="s">
        <v>20</v>
      </c>
    </row>
  </sheetData>
  <autoFilter ref="A1:D134" xr:uid="{881A9BAC-2CF2-4123-A7A6-CF131D875498}">
    <filterColumn colId="0">
      <filters>
        <filter val="SS/AA HP BLANCO U1"/>
        <filter val="SS/AA S/E Llanos Blancos 23 kV 1"/>
        <filter val="SS/AA S/E Llanos Blancos 23 kV 2"/>
      </filters>
    </filterColumn>
  </autoFilter>
  <conditionalFormatting sqref="A1:A130">
    <cfRule type="duplicateValues" dxfId="21" priority="41"/>
  </conditionalFormatting>
  <conditionalFormatting sqref="A2:A132">
    <cfRule type="duplicateValues" dxfId="20" priority="42"/>
  </conditionalFormatting>
  <conditionalFormatting sqref="B2:C127">
    <cfRule type="cellIs" dxfId="19" priority="1" operator="equal">
      <formula>0</formula>
    </cfRule>
  </conditionalFormatting>
  <conditionalFormatting sqref="B129:C134">
    <cfRule type="cellIs" dxfId="18" priority="4" operator="equal">
      <formula>0</formula>
    </cfRule>
  </conditionalFormatting>
  <conditionalFormatting sqref="G4:H4 B128">
    <cfRule type="cellIs" dxfId="17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5E6-E1C4-49B3-959C-D264CD2589F6}">
  <dimension ref="A1:C232"/>
  <sheetViews>
    <sheetView workbookViewId="0">
      <selection activeCell="A2" sqref="A2"/>
    </sheetView>
  </sheetViews>
  <sheetFormatPr defaultColWidth="11.42578125" defaultRowHeight="15" x14ac:dyDescent="0.25"/>
  <cols>
    <col min="1" max="1" width="32" bestFit="1" customWidth="1"/>
    <col min="2" max="2" width="7.7109375" bestFit="1" customWidth="1"/>
    <col min="3" max="3" width="7.28515625" bestFit="1" customWidth="1"/>
  </cols>
  <sheetData>
    <row r="1" spans="1:3" x14ac:dyDescent="0.25">
      <c r="A1" t="s">
        <v>1434</v>
      </c>
      <c r="B1" t="s">
        <v>0</v>
      </c>
      <c r="C1" t="s">
        <v>1</v>
      </c>
    </row>
    <row r="2" spans="1:3" x14ac:dyDescent="0.25">
      <c r="A2" t="s">
        <v>258</v>
      </c>
      <c r="B2" s="7">
        <f>VLOOKUP(UFLS!A2,DB!$A$3:$C$1246,2,0)</f>
        <v>7.4542390000000003</v>
      </c>
      <c r="C2" s="7">
        <f>VLOOKUP(UFLS!A2,DB!$A$3:$C$1246,3,0)</f>
        <v>0</v>
      </c>
    </row>
    <row r="3" spans="1:3" x14ac:dyDescent="0.25">
      <c r="A3" t="s">
        <v>975</v>
      </c>
      <c r="B3" s="7">
        <f>VLOOKUP(UFLS!A3,DB!$A$3:$C$1246,2,0)</f>
        <v>0.65227239999999997</v>
      </c>
      <c r="C3" s="7">
        <f>VLOOKUP(UFLS!A3,DB!$A$3:$C$1246,3,0)</f>
        <v>0.6106762</v>
      </c>
    </row>
    <row r="4" spans="1:3" x14ac:dyDescent="0.25">
      <c r="A4" t="s">
        <v>244</v>
      </c>
      <c r="B4" s="7">
        <f>VLOOKUP(UFLS!A4,DB!$A$3:$C$1246,2,0)</f>
        <v>0</v>
      </c>
      <c r="C4" s="7">
        <f>VLOOKUP(UFLS!A4,DB!$A$3:$C$1246,3,0)</f>
        <v>0</v>
      </c>
    </row>
    <row r="5" spans="1:3" x14ac:dyDescent="0.25">
      <c r="A5" t="s">
        <v>252</v>
      </c>
      <c r="B5" s="7">
        <f>VLOOKUP(UFLS!A5,DB!$A$3:$C$1246,2,0)</f>
        <v>0</v>
      </c>
      <c r="C5" s="7">
        <f>VLOOKUP(UFLS!A5,DB!$A$3:$C$1246,3,0)</f>
        <v>0</v>
      </c>
    </row>
    <row r="6" spans="1:3" x14ac:dyDescent="0.25">
      <c r="A6" s="3" t="s">
        <v>266</v>
      </c>
      <c r="B6" s="7">
        <f>VLOOKUP(UFLS!A6,DB!$A$3:$C$1246,2,0)</f>
        <v>0</v>
      </c>
      <c r="C6" s="7">
        <f>VLOOKUP(UFLS!A6,DB!$A$3:$C$1246,3,0)</f>
        <v>0</v>
      </c>
    </row>
    <row r="7" spans="1:3" x14ac:dyDescent="0.25">
      <c r="A7" s="3" t="s">
        <v>281</v>
      </c>
      <c r="B7" s="7">
        <f>VLOOKUP(UFLS!A7,DB!$A$3:$C$1246,2,0)</f>
        <v>0</v>
      </c>
      <c r="C7" s="7">
        <f>VLOOKUP(UFLS!A7,DB!$A$3:$C$1246,3,0)</f>
        <v>0</v>
      </c>
    </row>
    <row r="8" spans="1:3" x14ac:dyDescent="0.25">
      <c r="A8" s="3" t="s">
        <v>293</v>
      </c>
      <c r="B8" s="7">
        <f>VLOOKUP(UFLS!A8,DB!$A$3:$C$1246,2,0)</f>
        <v>0</v>
      </c>
      <c r="C8" s="7">
        <f>VLOOKUP(UFLS!A8,DB!$A$3:$C$1246,3,0)</f>
        <v>0</v>
      </c>
    </row>
    <row r="9" spans="1:3" x14ac:dyDescent="0.25">
      <c r="A9" s="10" t="s">
        <v>326</v>
      </c>
      <c r="B9" s="7">
        <f>VLOOKUP(UFLS!A9,DB!$A$3:$C$1246,2,0)</f>
        <v>0</v>
      </c>
      <c r="C9" s="7">
        <f>VLOOKUP(UFLS!A9,DB!$A$3:$C$1246,3,0)</f>
        <v>0</v>
      </c>
    </row>
    <row r="10" spans="1:3" x14ac:dyDescent="0.25">
      <c r="A10" s="3" t="s">
        <v>335</v>
      </c>
      <c r="B10" s="7">
        <f>VLOOKUP(UFLS!A10,DB!$A$3:$C$1246,2,0)</f>
        <v>0</v>
      </c>
      <c r="C10" s="7">
        <f>VLOOKUP(UFLS!A10,DB!$A$3:$C$1246,3,0)</f>
        <v>0</v>
      </c>
    </row>
    <row r="11" spans="1:3" x14ac:dyDescent="0.25">
      <c r="A11" s="3" t="s">
        <v>349</v>
      </c>
      <c r="B11" s="7">
        <f>VLOOKUP(UFLS!A11,DB!$A$3:$C$1246,2,0)</f>
        <v>0</v>
      </c>
      <c r="C11" s="7">
        <f>VLOOKUP(UFLS!A11,DB!$A$3:$C$1246,3,0)</f>
        <v>0</v>
      </c>
    </row>
    <row r="12" spans="1:3" x14ac:dyDescent="0.25">
      <c r="A12" s="3" t="s">
        <v>358</v>
      </c>
      <c r="B12" s="7">
        <f>VLOOKUP(UFLS!A12,DB!$A$3:$C$1246,2,0)</f>
        <v>0</v>
      </c>
      <c r="C12" s="7">
        <f>VLOOKUP(UFLS!A12,DB!$A$3:$C$1246,3,0)</f>
        <v>0</v>
      </c>
    </row>
    <row r="13" spans="1:3" x14ac:dyDescent="0.25">
      <c r="A13" s="3" t="s">
        <v>390</v>
      </c>
      <c r="B13" s="7">
        <f>VLOOKUP(UFLS!A13,DB!$A$3:$C$1246,2,0)</f>
        <v>0</v>
      </c>
      <c r="C13" s="7">
        <f>VLOOKUP(UFLS!A13,DB!$A$3:$C$1246,3,0)</f>
        <v>0</v>
      </c>
    </row>
    <row r="14" spans="1:3" x14ac:dyDescent="0.25">
      <c r="A14" s="3" t="s">
        <v>399</v>
      </c>
      <c r="B14" s="7">
        <f>VLOOKUP(UFLS!A14,DB!$A$3:$C$1246,2,0)</f>
        <v>0</v>
      </c>
      <c r="C14" s="7">
        <f>VLOOKUP(UFLS!A14,DB!$A$3:$C$1246,3,0)</f>
        <v>0</v>
      </c>
    </row>
    <row r="15" spans="1:3" x14ac:dyDescent="0.25">
      <c r="A15" s="3" t="s">
        <v>436</v>
      </c>
      <c r="B15" s="7">
        <f>VLOOKUP(UFLS!A15,DB!$A$3:$C$1246,2,0)</f>
        <v>0</v>
      </c>
      <c r="C15" s="7">
        <f>VLOOKUP(UFLS!A15,DB!$A$3:$C$1246,3,0)</f>
        <v>0</v>
      </c>
    </row>
    <row r="16" spans="1:3" x14ac:dyDescent="0.25">
      <c r="A16" s="3" t="s">
        <v>457</v>
      </c>
      <c r="B16" s="7">
        <f>VLOOKUP(UFLS!A16,DB!$A$3:$C$1246,2,0)</f>
        <v>0</v>
      </c>
      <c r="C16" s="7">
        <f>VLOOKUP(UFLS!A16,DB!$A$3:$C$1246,3,0)</f>
        <v>0</v>
      </c>
    </row>
    <row r="17" spans="1:3" x14ac:dyDescent="0.25">
      <c r="A17" s="3" t="s">
        <v>461</v>
      </c>
      <c r="B17" s="7">
        <f>VLOOKUP(UFLS!A17,DB!$A$3:$C$1246,2,0)</f>
        <v>0</v>
      </c>
      <c r="C17" s="7">
        <f>VLOOKUP(UFLS!A17,DB!$A$3:$C$1246,3,0)</f>
        <v>0</v>
      </c>
    </row>
    <row r="18" spans="1:3" x14ac:dyDescent="0.25">
      <c r="A18" s="3" t="s">
        <v>462</v>
      </c>
      <c r="B18" s="7">
        <f>VLOOKUP(UFLS!A18,DB!$A$3:$C$1246,2,0)</f>
        <v>0</v>
      </c>
      <c r="C18" s="7">
        <f>VLOOKUP(UFLS!A18,DB!$A$3:$C$1246,3,0)</f>
        <v>0</v>
      </c>
    </row>
    <row r="19" spans="1:3" x14ac:dyDescent="0.25">
      <c r="A19" s="3" t="s">
        <v>314</v>
      </c>
      <c r="B19" s="7">
        <f>VLOOKUP(UFLS!A19,DB!$A$3:$C$1246,2,0)</f>
        <v>0.3211658</v>
      </c>
      <c r="C19" s="7">
        <f>VLOOKUP(UFLS!A19,DB!$A$3:$C$1246,3,0)</f>
        <v>-8.0227199999999996</v>
      </c>
    </row>
    <row r="20" spans="1:3" x14ac:dyDescent="0.25">
      <c r="A20" s="3" t="s">
        <v>332</v>
      </c>
      <c r="B20" s="7">
        <f>VLOOKUP(UFLS!A20,DB!$A$3:$C$1246,2,0)</f>
        <v>0.66219760000000005</v>
      </c>
      <c r="C20" s="7">
        <f>VLOOKUP(UFLS!A20,DB!$A$3:$C$1246,3,0)</f>
        <v>1.0055350000000001</v>
      </c>
    </row>
    <row r="21" spans="1:3" x14ac:dyDescent="0.25">
      <c r="A21" s="3" t="s">
        <v>290</v>
      </c>
      <c r="B21" s="7">
        <f>VLOOKUP(UFLS!A21,DB!$A$3:$C$1246,2,0)</f>
        <v>0.74547090000000005</v>
      </c>
      <c r="C21" s="7">
        <f>VLOOKUP(UFLS!A21,DB!$A$3:$C$1246,3,0)</f>
        <v>-0.1062236</v>
      </c>
    </row>
    <row r="22" spans="1:3" x14ac:dyDescent="0.25">
      <c r="A22" s="3" t="s">
        <v>364</v>
      </c>
      <c r="B22" s="7">
        <f>VLOOKUP(UFLS!A22,DB!$A$3:$C$1246,2,0)</f>
        <v>0.79181840000000003</v>
      </c>
      <c r="C22" s="7">
        <f>VLOOKUP(UFLS!A22,DB!$A$3:$C$1246,3,0)</f>
        <v>-0.1128281</v>
      </c>
    </row>
    <row r="23" spans="1:3" x14ac:dyDescent="0.25">
      <c r="A23" s="3" t="s">
        <v>301</v>
      </c>
      <c r="B23" s="7">
        <f>VLOOKUP(UFLS!A23,DB!$A$3:$C$1246,2,0)</f>
        <v>1.184418</v>
      </c>
      <c r="C23" s="7">
        <f>VLOOKUP(UFLS!A23,DB!$A$3:$C$1246,3,0)</f>
        <v>0</v>
      </c>
    </row>
    <row r="24" spans="1:3" x14ac:dyDescent="0.25">
      <c r="A24" s="3" t="s">
        <v>287</v>
      </c>
      <c r="B24" s="7">
        <f>VLOOKUP(UFLS!A24,DB!$A$3:$C$1246,2,0)</f>
        <v>1.2076659999999999</v>
      </c>
      <c r="C24" s="7">
        <f>VLOOKUP(UFLS!A24,DB!$A$3:$C$1246,3,0)</f>
        <v>-1.0976809999999999</v>
      </c>
    </row>
    <row r="25" spans="1:3" x14ac:dyDescent="0.25">
      <c r="A25" s="3" t="s">
        <v>419</v>
      </c>
      <c r="B25" s="7">
        <f>VLOOKUP(UFLS!A25,DB!$A$3:$C$1246,2,0)</f>
        <v>1.2846630000000001</v>
      </c>
      <c r="C25" s="7">
        <f>VLOOKUP(UFLS!A25,DB!$A$3:$C$1246,3,0)</f>
        <v>0</v>
      </c>
    </row>
    <row r="26" spans="1:3" x14ac:dyDescent="0.25">
      <c r="A26" s="3" t="s">
        <v>240</v>
      </c>
      <c r="B26" s="7">
        <f>VLOOKUP(UFLS!A26,DB!$A$3:$C$1246,2,0)</f>
        <v>1.4109069999999999</v>
      </c>
      <c r="C26" s="7">
        <f>VLOOKUP(UFLS!A26,DB!$A$3:$C$1246,3,0)</f>
        <v>-0.94813559999999997</v>
      </c>
    </row>
    <row r="27" spans="1:3" x14ac:dyDescent="0.25">
      <c r="A27" s="3" t="s">
        <v>305</v>
      </c>
      <c r="B27" s="7">
        <f>VLOOKUP(UFLS!A27,DB!$A$3:$C$1246,2,0)</f>
        <v>1.5254829999999999</v>
      </c>
      <c r="C27" s="7">
        <f>VLOOKUP(UFLS!A27,DB!$A$3:$C$1246,3,0)</f>
        <v>0.21736910000000001</v>
      </c>
    </row>
    <row r="28" spans="1:3" x14ac:dyDescent="0.25">
      <c r="A28" s="3" t="s">
        <v>309</v>
      </c>
      <c r="B28" s="7">
        <f>VLOOKUP(UFLS!A28,DB!$A$3:$C$1246,2,0)</f>
        <v>1.5519639999999999</v>
      </c>
      <c r="C28" s="7">
        <f>VLOOKUP(UFLS!A28,DB!$A$3:$C$1246,3,0)</f>
        <v>1.8632660000000001</v>
      </c>
    </row>
    <row r="29" spans="1:3" x14ac:dyDescent="0.25">
      <c r="A29" s="3" t="s">
        <v>303</v>
      </c>
      <c r="B29" s="7">
        <f>VLOOKUP(UFLS!A29,DB!$A$3:$C$1246,2,0)</f>
        <v>1.5613109999999999</v>
      </c>
      <c r="C29" s="7">
        <f>VLOOKUP(UFLS!A29,DB!$A$3:$C$1246,3,0)</f>
        <v>2.0817480000000002</v>
      </c>
    </row>
    <row r="30" spans="1:3" x14ac:dyDescent="0.25">
      <c r="A30" s="3" t="s">
        <v>353</v>
      </c>
      <c r="B30" s="7">
        <f>VLOOKUP(UFLS!A30,DB!$A$3:$C$1246,2,0)</f>
        <v>1.598997</v>
      </c>
      <c r="C30" s="7">
        <f>VLOOKUP(UFLS!A30,DB!$A$3:$C$1246,3,0)</f>
        <v>1.3249740000000001</v>
      </c>
    </row>
    <row r="31" spans="1:3" x14ac:dyDescent="0.25">
      <c r="A31" s="3" t="s">
        <v>307</v>
      </c>
      <c r="B31" s="7">
        <f>VLOOKUP(UFLS!A31,DB!$A$3:$C$1246,2,0)</f>
        <v>1.655494</v>
      </c>
      <c r="C31" s="7">
        <f>VLOOKUP(UFLS!A31,DB!$A$3:$C$1246,3,0)</f>
        <v>0</v>
      </c>
    </row>
    <row r="32" spans="1:3" x14ac:dyDescent="0.25">
      <c r="A32" s="3" t="s">
        <v>333</v>
      </c>
      <c r="B32" s="7">
        <f>VLOOKUP(UFLS!A32,DB!$A$3:$C$1246,2,0)</f>
        <v>1.6621760000000001</v>
      </c>
      <c r="C32" s="7">
        <f>VLOOKUP(UFLS!A32,DB!$A$3:$C$1246,3,0)</f>
        <v>0.4848016</v>
      </c>
    </row>
    <row r="33" spans="1:3" x14ac:dyDescent="0.25">
      <c r="A33" s="3" t="s">
        <v>422</v>
      </c>
      <c r="B33" s="7">
        <f>VLOOKUP(UFLS!A33,DB!$A$3:$C$1246,2,0)</f>
        <v>1.7664120000000001</v>
      </c>
      <c r="C33" s="7">
        <f>VLOOKUP(UFLS!A33,DB!$A$3:$C$1246,3,0)</f>
        <v>-2.5462509999999998</v>
      </c>
    </row>
    <row r="34" spans="1:3" x14ac:dyDescent="0.25">
      <c r="A34" s="3" t="s">
        <v>423</v>
      </c>
      <c r="B34" s="7">
        <f>VLOOKUP(UFLS!A34,DB!$A$3:$C$1246,2,0)</f>
        <v>1.7664120000000001</v>
      </c>
      <c r="C34" s="7">
        <f>VLOOKUP(UFLS!A34,DB!$A$3:$C$1246,3,0)</f>
        <v>-2.5462509999999998</v>
      </c>
    </row>
    <row r="35" spans="1:3" x14ac:dyDescent="0.25">
      <c r="A35" s="3" t="s">
        <v>300</v>
      </c>
      <c r="B35" s="7">
        <f>VLOOKUP(UFLS!A35,DB!$A$3:$C$1246,2,0)</f>
        <v>1.9898469999999999</v>
      </c>
      <c r="C35" s="7">
        <f>VLOOKUP(UFLS!A35,DB!$A$3:$C$1246,3,0)</f>
        <v>-0.49870320000000001</v>
      </c>
    </row>
    <row r="36" spans="1:3" x14ac:dyDescent="0.25">
      <c r="A36" s="3" t="s">
        <v>236</v>
      </c>
      <c r="B36" s="7">
        <f>VLOOKUP(UFLS!A36,DB!$A$3:$C$1246,2,0)</f>
        <v>2.0127760000000001</v>
      </c>
      <c r="C36" s="7">
        <f>VLOOKUP(UFLS!A36,DB!$A$3:$C$1246,3,0)</f>
        <v>2.6837010000000001</v>
      </c>
    </row>
    <row r="37" spans="1:3" x14ac:dyDescent="0.25">
      <c r="A37" s="3" t="s">
        <v>260</v>
      </c>
      <c r="B37" s="7">
        <f>VLOOKUP(UFLS!A37,DB!$A$3:$C$1246,2,0)</f>
        <v>2.0875780000000002</v>
      </c>
      <c r="C37" s="7">
        <f>VLOOKUP(UFLS!A37,DB!$A$3:$C$1246,3,0)</f>
        <v>-3.9205000000000001</v>
      </c>
    </row>
    <row r="38" spans="1:3" x14ac:dyDescent="0.25">
      <c r="A38" s="3" t="s">
        <v>261</v>
      </c>
      <c r="B38" s="7">
        <f>VLOOKUP(UFLS!A38,DB!$A$3:$C$1246,2,0)</f>
        <v>2.1134149999999998</v>
      </c>
      <c r="C38" s="7">
        <f>VLOOKUP(UFLS!A38,DB!$A$3:$C$1246,3,0)</f>
        <v>2.5373359999999998</v>
      </c>
    </row>
    <row r="39" spans="1:3" x14ac:dyDescent="0.25">
      <c r="A39" s="3" t="s">
        <v>267</v>
      </c>
      <c r="B39" s="7">
        <f>VLOOKUP(UFLS!A39,DB!$A$3:$C$1246,2,0)</f>
        <v>2.249066</v>
      </c>
      <c r="C39" s="7">
        <f>VLOOKUP(UFLS!A39,DB!$A$3:$C$1246,3,0)</f>
        <v>1.1522300000000001</v>
      </c>
    </row>
    <row r="40" spans="1:3" x14ac:dyDescent="0.25">
      <c r="A40" s="3" t="s">
        <v>446</v>
      </c>
      <c r="B40" s="7">
        <f>VLOOKUP(UFLS!A40,DB!$A$3:$C$1246,2,0)</f>
        <v>2.3176920000000001</v>
      </c>
      <c r="C40" s="7">
        <f>VLOOKUP(UFLS!A40,DB!$A$3:$C$1246,3,0)</f>
        <v>0.84120980000000001</v>
      </c>
    </row>
    <row r="41" spans="1:3" x14ac:dyDescent="0.25">
      <c r="A41" s="3" t="s">
        <v>245</v>
      </c>
      <c r="B41" s="7">
        <f>VLOOKUP(UFLS!A41,DB!$A$3:$C$1246,2,0)</f>
        <v>2.5938629999999998</v>
      </c>
      <c r="C41" s="7">
        <f>VLOOKUP(UFLS!A41,DB!$A$3:$C$1246,3,0)</f>
        <v>0</v>
      </c>
    </row>
    <row r="42" spans="1:3" x14ac:dyDescent="0.25">
      <c r="A42" s="3" t="s">
        <v>443</v>
      </c>
      <c r="B42" s="7">
        <f>VLOOKUP(UFLS!A42,DB!$A$3:$C$1246,2,0)</f>
        <v>2.9185249999999998</v>
      </c>
      <c r="C42" s="7">
        <f>VLOOKUP(UFLS!A42,DB!$A$3:$C$1246,3,0)</f>
        <v>0.85123709999999997</v>
      </c>
    </row>
    <row r="43" spans="1:3" x14ac:dyDescent="0.25">
      <c r="A43" s="3" t="s">
        <v>341</v>
      </c>
      <c r="B43" s="7">
        <f>VLOOKUP(UFLS!A43,DB!$A$3:$C$1246,2,0)</f>
        <v>3.080212</v>
      </c>
      <c r="C43" s="7">
        <f>VLOOKUP(UFLS!A43,DB!$A$3:$C$1246,3,0)</f>
        <v>0</v>
      </c>
    </row>
    <row r="44" spans="1:3" x14ac:dyDescent="0.25">
      <c r="A44" s="3" t="s">
        <v>444</v>
      </c>
      <c r="B44" s="7">
        <f>VLOOKUP(UFLS!A44,DB!$A$3:$C$1246,2,0)</f>
        <v>3.2204419999999998</v>
      </c>
      <c r="C44" s="7">
        <f>VLOOKUP(UFLS!A44,DB!$A$3:$C$1246,3,0)</f>
        <v>1.467276</v>
      </c>
    </row>
    <row r="45" spans="1:3" x14ac:dyDescent="0.25">
      <c r="A45" s="3" t="s">
        <v>331</v>
      </c>
      <c r="B45" s="7">
        <f>VLOOKUP(UFLS!A45,DB!$A$3:$C$1246,2,0)</f>
        <v>3.4600879999999998</v>
      </c>
      <c r="C45" s="7">
        <f>VLOOKUP(UFLS!A45,DB!$A$3:$C$1246,3,0)</f>
        <v>0</v>
      </c>
    </row>
    <row r="46" spans="1:3" x14ac:dyDescent="0.25">
      <c r="A46" s="3" t="s">
        <v>285</v>
      </c>
      <c r="B46" s="7">
        <f>VLOOKUP(UFLS!A46,DB!$A$3:$C$1246,2,0)</f>
        <v>3.530249</v>
      </c>
      <c r="C46" s="7">
        <f>VLOOKUP(UFLS!A46,DB!$A$3:$C$1246,3,0)</f>
        <v>0.50303299999999995</v>
      </c>
    </row>
    <row r="47" spans="1:3" x14ac:dyDescent="0.25">
      <c r="A47" s="3" t="s">
        <v>455</v>
      </c>
      <c r="B47" s="7">
        <f>VLOOKUP(UFLS!A47,DB!$A$3:$C$1246,2,0)</f>
        <v>3.53172</v>
      </c>
      <c r="C47" s="7">
        <f>VLOOKUP(UFLS!A47,DB!$A$3:$C$1246,3,0)</f>
        <v>0</v>
      </c>
    </row>
    <row r="48" spans="1:3" x14ac:dyDescent="0.25">
      <c r="A48" s="3" t="s">
        <v>410</v>
      </c>
      <c r="B48" s="7">
        <f>VLOOKUP(UFLS!A48,DB!$A$3:$C$1246,2,0)</f>
        <v>3.6804459999999999</v>
      </c>
      <c r="C48" s="7">
        <f>VLOOKUP(UFLS!A48,DB!$A$3:$C$1246,3,0)</f>
        <v>0.52443309999999999</v>
      </c>
    </row>
    <row r="49" spans="1:3" x14ac:dyDescent="0.25">
      <c r="A49" s="3" t="s">
        <v>292</v>
      </c>
      <c r="B49" s="7">
        <f>VLOOKUP(UFLS!A49,DB!$A$3:$C$1246,2,0)</f>
        <v>3.862819</v>
      </c>
      <c r="C49" s="7">
        <f>VLOOKUP(UFLS!A49,DB!$A$3:$C$1246,3,0)</f>
        <v>0.96811290000000005</v>
      </c>
    </row>
    <row r="50" spans="1:3" x14ac:dyDescent="0.25">
      <c r="A50" s="3" t="s">
        <v>414</v>
      </c>
      <c r="B50" s="7">
        <f>VLOOKUP(UFLS!A50,DB!$A$3:$C$1246,2,0)</f>
        <v>4.014462</v>
      </c>
      <c r="C50" s="7">
        <f>VLOOKUP(UFLS!A50,DB!$A$3:$C$1246,3,0)</f>
        <v>3.648857</v>
      </c>
    </row>
    <row r="51" spans="1:3" x14ac:dyDescent="0.25">
      <c r="A51" s="10" t="s">
        <v>351</v>
      </c>
      <c r="B51" s="7">
        <f>VLOOKUP(UFLS!A51,DB!$A$3:$C$1246,2,0)</f>
        <v>15.38855</v>
      </c>
      <c r="C51" s="7">
        <f>VLOOKUP(UFLS!A51,DB!$A$3:$C$1246,3,0)</f>
        <v>10.34117</v>
      </c>
    </row>
    <row r="52" spans="1:3" x14ac:dyDescent="0.25">
      <c r="A52" s="3" t="s">
        <v>361</v>
      </c>
      <c r="B52" s="7">
        <f>VLOOKUP(UFLS!A52,DB!$A$3:$C$1246,2,0)</f>
        <v>4.2861929999999999</v>
      </c>
      <c r="C52" s="7">
        <f>VLOOKUP(UFLS!A52,DB!$A$3:$C$1246,3,0)</f>
        <v>5.5678450000000002</v>
      </c>
    </row>
    <row r="53" spans="1:3" x14ac:dyDescent="0.25">
      <c r="A53" s="3" t="s">
        <v>262</v>
      </c>
      <c r="B53" s="7">
        <f>VLOOKUP(UFLS!A53,DB!$A$3:$C$1246,2,0)</f>
        <v>4.3033070000000002</v>
      </c>
      <c r="C53" s="7">
        <f>VLOOKUP(UFLS!A53,DB!$A$3:$C$1246,3,0)</f>
        <v>1.078508</v>
      </c>
    </row>
    <row r="54" spans="1:3" x14ac:dyDescent="0.25">
      <c r="A54" s="3" t="s">
        <v>302</v>
      </c>
      <c r="B54" s="7">
        <f>VLOOKUP(UFLS!A54,DB!$A$3:$C$1246,2,0)</f>
        <v>4.4115599999999997</v>
      </c>
      <c r="C54" s="7">
        <f>VLOOKUP(UFLS!A54,DB!$A$3:$C$1246,3,0)</f>
        <v>2.1366160000000001</v>
      </c>
    </row>
    <row r="55" spans="1:3" x14ac:dyDescent="0.25">
      <c r="A55" s="3" t="s">
        <v>454</v>
      </c>
      <c r="B55" s="7">
        <f>VLOOKUP(UFLS!A55,DB!$A$3:$C$1246,2,0)</f>
        <v>4.4146219999999996</v>
      </c>
      <c r="C55" s="7">
        <f>VLOOKUP(UFLS!A55,DB!$A$3:$C$1246,3,0)</f>
        <v>2.3827609999999999</v>
      </c>
    </row>
    <row r="56" spans="1:3" x14ac:dyDescent="0.25">
      <c r="A56" s="3" t="s">
        <v>417</v>
      </c>
      <c r="B56" s="7">
        <f>VLOOKUP(UFLS!A56,DB!$A$3:$C$1246,2,0)</f>
        <v>4.4962109999999997</v>
      </c>
      <c r="C56" s="7">
        <f>VLOOKUP(UFLS!A56,DB!$A$3:$C$1246,3,0)</f>
        <v>1.1268590000000001</v>
      </c>
    </row>
    <row r="57" spans="1:3" x14ac:dyDescent="0.25">
      <c r="A57" s="3" t="s">
        <v>403</v>
      </c>
      <c r="B57" s="7">
        <f>VLOOKUP(UFLS!A57,DB!$A$3:$C$1246,2,0)</f>
        <v>4.6293850000000001</v>
      </c>
      <c r="C57" s="7">
        <f>VLOOKUP(UFLS!A57,DB!$A$3:$C$1246,3,0)</f>
        <v>-4.5915790000000003</v>
      </c>
    </row>
    <row r="58" spans="1:3" x14ac:dyDescent="0.25">
      <c r="A58" s="3" t="s">
        <v>388</v>
      </c>
      <c r="B58" s="7">
        <f>VLOOKUP(UFLS!A58,DB!$A$3:$C$1246,2,0)</f>
        <v>4.6371779999999996</v>
      </c>
      <c r="C58" s="7">
        <f>VLOOKUP(UFLS!A58,DB!$A$3:$C$1246,3,0)</f>
        <v>0</v>
      </c>
    </row>
    <row r="59" spans="1:3" x14ac:dyDescent="0.25">
      <c r="A59" s="3" t="s">
        <v>338</v>
      </c>
      <c r="B59" s="7">
        <f>VLOOKUP(UFLS!A59,DB!$A$3:$C$1246,2,0)</f>
        <v>4.977144</v>
      </c>
      <c r="C59" s="7">
        <f>VLOOKUP(UFLS!A59,DB!$A$3:$C$1246,3,0)</f>
        <v>-1.0106520000000001</v>
      </c>
    </row>
    <row r="60" spans="1:3" x14ac:dyDescent="0.25">
      <c r="A60" s="3" t="s">
        <v>291</v>
      </c>
      <c r="B60" s="7">
        <f>VLOOKUP(UFLS!A60,DB!$A$3:$C$1246,2,0)</f>
        <v>4.98508</v>
      </c>
      <c r="C60" s="7">
        <f>VLOOKUP(UFLS!A60,DB!$A$3:$C$1246,3,0)</f>
        <v>0.71033630000000003</v>
      </c>
    </row>
    <row r="61" spans="1:3" x14ac:dyDescent="0.25">
      <c r="A61" s="3" t="s">
        <v>330</v>
      </c>
      <c r="B61" s="7">
        <f>VLOOKUP(UFLS!A61,DB!$A$3:$C$1246,2,0)</f>
        <v>4.98508</v>
      </c>
      <c r="C61" s="7">
        <f>VLOOKUP(UFLS!A61,DB!$A$3:$C$1246,3,0)</f>
        <v>0.71033630000000003</v>
      </c>
    </row>
    <row r="62" spans="1:3" x14ac:dyDescent="0.25">
      <c r="A62" s="3" t="s">
        <v>347</v>
      </c>
      <c r="B62" s="7">
        <f>VLOOKUP(UFLS!A62,DB!$A$3:$C$1246,2,0)</f>
        <v>5.0902609999999999</v>
      </c>
      <c r="C62" s="7">
        <f>VLOOKUP(UFLS!A62,DB!$A$3:$C$1246,3,0)</f>
        <v>1.0336190000000001</v>
      </c>
    </row>
    <row r="63" spans="1:3" x14ac:dyDescent="0.25">
      <c r="A63" s="3" t="s">
        <v>409</v>
      </c>
      <c r="B63" s="7">
        <f>VLOOKUP(UFLS!A63,DB!$A$3:$C$1246,2,0)</f>
        <v>5.3426220000000004</v>
      </c>
      <c r="C63" s="7">
        <f>VLOOKUP(UFLS!A63,DB!$A$3:$C$1246,3,0)</f>
        <v>0.76128039999999997</v>
      </c>
    </row>
    <row r="64" spans="1:3" x14ac:dyDescent="0.25">
      <c r="A64" s="3" t="s">
        <v>391</v>
      </c>
      <c r="B64" s="7">
        <f>VLOOKUP(UFLS!A64,DB!$A$3:$C$1246,2,0)</f>
        <v>5.3615159999999999</v>
      </c>
      <c r="C64" s="7">
        <f>VLOOKUP(UFLS!A64,DB!$A$3:$C$1246,3,0)</f>
        <v>3.0385110000000002</v>
      </c>
    </row>
    <row r="65" spans="1:3" x14ac:dyDescent="0.25">
      <c r="A65" s="3" t="s">
        <v>340</v>
      </c>
      <c r="B65" s="7">
        <f>VLOOKUP(UFLS!A65,DB!$A$3:$C$1246,2,0)</f>
        <v>5.5680500000000004</v>
      </c>
      <c r="C65" s="7">
        <f>VLOOKUP(UFLS!A65,DB!$A$3:$C$1246,3,0)</f>
        <v>3.596606</v>
      </c>
    </row>
    <row r="66" spans="1:3" x14ac:dyDescent="0.25">
      <c r="A66" s="3" t="s">
        <v>413</v>
      </c>
      <c r="B66" s="7">
        <f>VLOOKUP(UFLS!A66,DB!$A$3:$C$1246,2,0)</f>
        <v>5.780875</v>
      </c>
      <c r="C66" s="7">
        <f>VLOOKUP(UFLS!A66,DB!$A$3:$C$1246,3,0)</f>
        <v>4.3356560000000002</v>
      </c>
    </row>
    <row r="67" spans="1:3" x14ac:dyDescent="0.25">
      <c r="A67" s="3" t="s">
        <v>276</v>
      </c>
      <c r="B67" s="7">
        <f>VLOOKUP(UFLS!A67,DB!$A$3:$C$1246,2,0)</f>
        <v>5.8144070000000001</v>
      </c>
      <c r="C67" s="7">
        <f>VLOOKUP(UFLS!A67,DB!$A$3:$C$1246,3,0)</f>
        <v>3.907305</v>
      </c>
    </row>
    <row r="68" spans="1:3" x14ac:dyDescent="0.25">
      <c r="A68" s="3" t="s">
        <v>355</v>
      </c>
      <c r="B68" s="7">
        <f>VLOOKUP(UFLS!A68,DB!$A$3:$C$1246,2,0)</f>
        <v>5.8318089999999998</v>
      </c>
      <c r="C68" s="7">
        <f>VLOOKUP(UFLS!A68,DB!$A$3:$C$1246,3,0)</f>
        <v>3.1476760000000001</v>
      </c>
    </row>
    <row r="69" spans="1:3" x14ac:dyDescent="0.25">
      <c r="A69" s="3" t="s">
        <v>299</v>
      </c>
      <c r="B69" s="7">
        <f>VLOOKUP(UFLS!A69,DB!$A$3:$C$1246,2,0)</f>
        <v>5.8611110000000002</v>
      </c>
      <c r="C69" s="7">
        <f>VLOOKUP(UFLS!A69,DB!$A$3:$C$1246,3,0)</f>
        <v>1.926453</v>
      </c>
    </row>
    <row r="70" spans="1:3" x14ac:dyDescent="0.25">
      <c r="A70" s="3" t="s">
        <v>268</v>
      </c>
      <c r="B70" s="7">
        <f>VLOOKUP(UFLS!A70,DB!$A$3:$C$1246,2,0)</f>
        <v>6.005795</v>
      </c>
      <c r="C70" s="7">
        <f>VLOOKUP(UFLS!A70,DB!$A$3:$C$1246,3,0)</f>
        <v>0.85578080000000001</v>
      </c>
    </row>
    <row r="71" spans="1:3" x14ac:dyDescent="0.25">
      <c r="A71" s="3" t="s">
        <v>257</v>
      </c>
      <c r="B71" s="7">
        <f>VLOOKUP(UFLS!A71,DB!$A$3:$C$1246,2,0)</f>
        <v>6.0297739999999997</v>
      </c>
      <c r="C71" s="7">
        <f>VLOOKUP(UFLS!A71,DB!$A$3:$C$1246,3,0)</f>
        <v>2.3831199999999999</v>
      </c>
    </row>
    <row r="72" spans="1:3" x14ac:dyDescent="0.25">
      <c r="A72" s="3" t="s">
        <v>379</v>
      </c>
      <c r="B72" s="7">
        <f>VLOOKUP(UFLS!A72,DB!$A$3:$C$1246,2,0)</f>
        <v>6.1373569999999997</v>
      </c>
      <c r="C72" s="7">
        <f>VLOOKUP(UFLS!A72,DB!$A$3:$C$1246,3,0)</f>
        <v>0</v>
      </c>
    </row>
    <row r="73" spans="1:3" x14ac:dyDescent="0.25">
      <c r="A73" s="3" t="s">
        <v>288</v>
      </c>
      <c r="B73" s="7">
        <f>VLOOKUP(UFLS!A73,DB!$A$3:$C$1246,2,0)</f>
        <v>6.1805110000000001</v>
      </c>
      <c r="C73" s="7">
        <f>VLOOKUP(UFLS!A73,DB!$A$3:$C$1246,3,0)</f>
        <v>0.88067530000000005</v>
      </c>
    </row>
    <row r="74" spans="1:3" x14ac:dyDescent="0.25">
      <c r="A74" s="3" t="s">
        <v>283</v>
      </c>
      <c r="B74" s="7">
        <f>VLOOKUP(UFLS!A74,DB!$A$3:$C$1246,2,0)</f>
        <v>6.2281750000000002</v>
      </c>
      <c r="C74" s="7">
        <f>VLOOKUP(UFLS!A74,DB!$A$3:$C$1246,3,0)</f>
        <v>3.0164430000000002</v>
      </c>
    </row>
    <row r="75" spans="1:3" x14ac:dyDescent="0.25">
      <c r="A75" s="3" t="s">
        <v>319</v>
      </c>
      <c r="B75" s="7">
        <f>VLOOKUP(UFLS!A75,DB!$A$3:$C$1246,2,0)</f>
        <v>6.4476639999999996</v>
      </c>
      <c r="C75" s="7">
        <f>VLOOKUP(UFLS!A75,DB!$A$3:$C$1246,3,0)</f>
        <v>2.5482800000000001</v>
      </c>
    </row>
    <row r="76" spans="1:3" x14ac:dyDescent="0.25">
      <c r="A76" s="3" t="s">
        <v>377</v>
      </c>
      <c r="B76" s="7">
        <f>VLOOKUP(UFLS!A76,DB!$A$3:$C$1246,2,0)</f>
        <v>6.5763340000000001</v>
      </c>
      <c r="C76" s="7">
        <f>VLOOKUP(UFLS!A76,DB!$A$3:$C$1246,3,0)</f>
        <v>0.93708080000000005</v>
      </c>
    </row>
    <row r="77" spans="1:3" x14ac:dyDescent="0.25">
      <c r="A77" s="3" t="s">
        <v>395</v>
      </c>
      <c r="B77" s="7">
        <f>VLOOKUP(UFLS!A77,DB!$A$3:$C$1246,2,0)</f>
        <v>6.8427090000000002</v>
      </c>
      <c r="C77" s="7">
        <f>VLOOKUP(UFLS!A77,DB!$A$3:$C$1246,3,0)</f>
        <v>2.483571</v>
      </c>
    </row>
    <row r="78" spans="1:3" x14ac:dyDescent="0.25">
      <c r="A78" s="3" t="s">
        <v>348</v>
      </c>
      <c r="B78" s="7">
        <f>VLOOKUP(UFLS!A78,DB!$A$3:$C$1246,2,0)</f>
        <v>6.8911420000000003</v>
      </c>
      <c r="C78" s="7">
        <f>VLOOKUP(UFLS!A78,DB!$A$3:$C$1246,3,0)</f>
        <v>0</v>
      </c>
    </row>
    <row r="79" spans="1:3" x14ac:dyDescent="0.25">
      <c r="A79" s="3" t="s">
        <v>396</v>
      </c>
      <c r="B79" s="7">
        <f>VLOOKUP(UFLS!A79,DB!$A$3:$C$1246,2,0)</f>
        <v>7</v>
      </c>
      <c r="C79" s="7">
        <f>VLOOKUP(UFLS!A79,DB!$A$3:$C$1246,3,0)</f>
        <v>6.746969</v>
      </c>
    </row>
    <row r="80" spans="1:3" x14ac:dyDescent="0.25">
      <c r="A80" s="3" t="s">
        <v>416</v>
      </c>
      <c r="B80" s="7">
        <f>VLOOKUP(UFLS!A80,DB!$A$3:$C$1246,2,0)</f>
        <v>7.2056940000000003</v>
      </c>
      <c r="C80" s="7">
        <f>VLOOKUP(UFLS!A80,DB!$A$3:$C$1246,3,0)</f>
        <v>5.7809949999999999</v>
      </c>
    </row>
    <row r="81" spans="1:3" x14ac:dyDescent="0.25">
      <c r="A81" s="3" t="s">
        <v>437</v>
      </c>
      <c r="B81" s="7">
        <f>VLOOKUP(UFLS!A81,DB!$A$3:$C$1246,2,0)</f>
        <v>7.4796259999999997</v>
      </c>
      <c r="C81" s="7">
        <f>VLOOKUP(UFLS!A81,DB!$A$3:$C$1246,3,0)</f>
        <v>2.7147429999999999</v>
      </c>
    </row>
    <row r="82" spans="1:3" x14ac:dyDescent="0.25">
      <c r="A82" s="3" t="s">
        <v>337</v>
      </c>
      <c r="B82" s="7">
        <f>VLOOKUP(UFLS!A82,DB!$A$3:$C$1246,2,0)</f>
        <v>7.68032</v>
      </c>
      <c r="C82" s="7">
        <f>VLOOKUP(UFLS!A82,DB!$A$3:$C$1246,3,0)</f>
        <v>-1.9248590000000001</v>
      </c>
    </row>
    <row r="83" spans="1:3" x14ac:dyDescent="0.25">
      <c r="A83" s="3" t="s">
        <v>275</v>
      </c>
      <c r="B83" s="7">
        <f>VLOOKUP(UFLS!A83,DB!$A$3:$C$1246,2,0)</f>
        <v>7.7077590000000002</v>
      </c>
      <c r="C83" s="7">
        <f>VLOOKUP(UFLS!A83,DB!$A$3:$C$1246,3,0)</f>
        <v>-2.2480989999999998</v>
      </c>
    </row>
    <row r="84" spans="1:3" x14ac:dyDescent="0.25">
      <c r="A84" s="3" t="s">
        <v>284</v>
      </c>
      <c r="B84" s="7">
        <f>VLOOKUP(UFLS!A84,DB!$A$3:$C$1246,2,0)</f>
        <v>7.7077590000000002</v>
      </c>
      <c r="C84" s="7">
        <f>VLOOKUP(UFLS!A84,DB!$A$3:$C$1246,3,0)</f>
        <v>0</v>
      </c>
    </row>
    <row r="85" spans="1:3" x14ac:dyDescent="0.25">
      <c r="A85" s="3" t="s">
        <v>334</v>
      </c>
      <c r="B85" s="7">
        <f>VLOOKUP(UFLS!A85,DB!$A$3:$C$1246,2,0)</f>
        <v>7.712987</v>
      </c>
      <c r="C85" s="7">
        <f>VLOOKUP(UFLS!A85,DB!$A$3:$C$1246,3,0)</f>
        <v>1.566181</v>
      </c>
    </row>
    <row r="86" spans="1:3" x14ac:dyDescent="0.25">
      <c r="A86" s="3" t="s">
        <v>286</v>
      </c>
      <c r="B86" s="7">
        <f>VLOOKUP(UFLS!A86,DB!$A$3:$C$1246,2,0)</f>
        <v>7.8050680000000003</v>
      </c>
      <c r="C86" s="7">
        <f>VLOOKUP(UFLS!A86,DB!$A$3:$C$1246,3,0)</f>
        <v>0</v>
      </c>
    </row>
    <row r="87" spans="1:3" x14ac:dyDescent="0.25">
      <c r="A87" s="3" t="s">
        <v>449</v>
      </c>
      <c r="B87" s="7">
        <f>VLOOKUP(UFLS!A87,DB!$A$3:$C$1246,2,0)</f>
        <v>7.8360050000000001</v>
      </c>
      <c r="C87" s="7">
        <f>VLOOKUP(UFLS!A87,DB!$A$3:$C$1246,3,0)</f>
        <v>1.116571</v>
      </c>
    </row>
    <row r="88" spans="1:3" x14ac:dyDescent="0.25">
      <c r="A88" s="3" t="s">
        <v>407</v>
      </c>
      <c r="B88" s="7">
        <f>VLOOKUP(UFLS!A88,DB!$A$3:$C$1246,2,0)</f>
        <v>8.0289249999999992</v>
      </c>
      <c r="C88" s="7">
        <f>VLOOKUP(UFLS!A88,DB!$A$3:$C$1246,3,0)</f>
        <v>-4.11334</v>
      </c>
    </row>
    <row r="89" spans="1:3" x14ac:dyDescent="0.25">
      <c r="A89" s="3" t="s">
        <v>369</v>
      </c>
      <c r="B89" s="7">
        <f>VLOOKUP(UFLS!A89,DB!$A$3:$C$1246,2,0)</f>
        <v>8.1832440000000002</v>
      </c>
      <c r="C89" s="7">
        <f>VLOOKUP(UFLS!A89,DB!$A$3:$C$1246,3,0)</f>
        <v>0</v>
      </c>
    </row>
    <row r="90" spans="1:3" x14ac:dyDescent="0.25">
      <c r="A90" s="3" t="s">
        <v>253</v>
      </c>
      <c r="B90" s="7">
        <f>VLOOKUP(UFLS!A90,DB!$A$3:$C$1246,2,0)</f>
        <v>8.1889129999999994</v>
      </c>
      <c r="C90" s="7">
        <f>VLOOKUP(UFLS!A90,DB!$A$3:$C$1246,3,0)</f>
        <v>3.236469</v>
      </c>
    </row>
    <row r="91" spans="1:3" x14ac:dyDescent="0.25">
      <c r="A91" s="3" t="s">
        <v>365</v>
      </c>
      <c r="B91" s="7">
        <f>VLOOKUP(UFLS!A91,DB!$A$3:$C$1246,2,0)</f>
        <v>8.379448</v>
      </c>
      <c r="C91" s="7">
        <f>VLOOKUP(UFLS!A91,DB!$A$3:$C$1246,3,0)</f>
        <v>1.4446840000000001</v>
      </c>
    </row>
    <row r="92" spans="1:3" x14ac:dyDescent="0.25">
      <c r="A92" s="3" t="s">
        <v>312</v>
      </c>
      <c r="B92" s="7">
        <f>VLOOKUP(UFLS!A92,DB!$A$3:$C$1246,2,0)</f>
        <v>8.6841729999999995</v>
      </c>
      <c r="C92" s="7">
        <f>VLOOKUP(UFLS!A92,DB!$A$3:$C$1246,3,0)</f>
        <v>0</v>
      </c>
    </row>
    <row r="93" spans="1:3" x14ac:dyDescent="0.25">
      <c r="A93" s="3" t="s">
        <v>415</v>
      </c>
      <c r="B93" s="7">
        <f>VLOOKUP(UFLS!A93,DB!$A$3:$C$1246,2,0)</f>
        <v>8.7855980000000002</v>
      </c>
      <c r="C93" s="7">
        <f>VLOOKUP(UFLS!A93,DB!$A$3:$C$1246,3,0)</f>
        <v>2.8876819999999999</v>
      </c>
    </row>
    <row r="94" spans="1:3" x14ac:dyDescent="0.25">
      <c r="A94" s="3" t="s">
        <v>264</v>
      </c>
      <c r="B94" s="7">
        <f>VLOOKUP(UFLS!A94,DB!$A$3:$C$1246,2,0)</f>
        <v>9.0213750000000008</v>
      </c>
      <c r="C94" s="7">
        <f>VLOOKUP(UFLS!A94,DB!$A$3:$C$1246,3,0)</f>
        <v>1.8318730000000001</v>
      </c>
    </row>
    <row r="95" spans="1:3" x14ac:dyDescent="0.25">
      <c r="A95" s="3" t="s">
        <v>359</v>
      </c>
      <c r="B95" s="7">
        <f>VLOOKUP(UFLS!A95,DB!$A$3:$C$1246,2,0)</f>
        <v>9.0446109999999997</v>
      </c>
      <c r="C95" s="7">
        <f>VLOOKUP(UFLS!A95,DB!$A$3:$C$1246,3,0)</f>
        <v>0</v>
      </c>
    </row>
    <row r="96" spans="1:3" x14ac:dyDescent="0.25">
      <c r="A96" s="3" t="s">
        <v>392</v>
      </c>
      <c r="B96" s="7">
        <f>VLOOKUP(UFLS!A96,DB!$A$3:$C$1246,2,0)</f>
        <v>9.1313429999999993</v>
      </c>
      <c r="C96" s="7">
        <f>VLOOKUP(UFLS!A96,DB!$A$3:$C$1246,3,0)</f>
        <v>-6.6109799999999996</v>
      </c>
    </row>
    <row r="97" spans="1:3" x14ac:dyDescent="0.25">
      <c r="A97" s="3" t="s">
        <v>249</v>
      </c>
      <c r="B97" s="7">
        <f>VLOOKUP(UFLS!A97,DB!$A$3:$C$1246,2,0)</f>
        <v>9.1595779999999998</v>
      </c>
      <c r="C97" s="7">
        <f>VLOOKUP(UFLS!A97,DB!$A$3:$C$1246,3,0)</f>
        <v>2.295607</v>
      </c>
    </row>
    <row r="98" spans="1:3" x14ac:dyDescent="0.25">
      <c r="A98" s="3" t="s">
        <v>295</v>
      </c>
      <c r="B98" s="7">
        <f>VLOOKUP(UFLS!A98,DB!$A$3:$C$1246,2,0)</f>
        <v>9.162471</v>
      </c>
      <c r="C98" s="7">
        <f>VLOOKUP(UFLS!A98,DB!$A$3:$C$1246,3,0)</f>
        <v>0</v>
      </c>
    </row>
    <row r="99" spans="1:3" x14ac:dyDescent="0.25">
      <c r="A99" s="3" t="s">
        <v>389</v>
      </c>
      <c r="B99" s="7">
        <f>VLOOKUP(UFLS!A99,DB!$A$3:$C$1246,2,0)</f>
        <v>9.2179850000000005</v>
      </c>
      <c r="C99" s="7">
        <f>VLOOKUP(UFLS!A99,DB!$A$3:$C$1246,3,0)</f>
        <v>2.310244</v>
      </c>
    </row>
    <row r="100" spans="1:3" x14ac:dyDescent="0.25">
      <c r="A100" s="3" t="s">
        <v>248</v>
      </c>
      <c r="B100" s="7">
        <f>VLOOKUP(UFLS!A100,DB!$A$3:$C$1246,2,0)</f>
        <v>9.2587899999999994</v>
      </c>
      <c r="C100" s="7">
        <f>VLOOKUP(UFLS!A100,DB!$A$3:$C$1246,3,0)</f>
        <v>3.0432169999999998</v>
      </c>
    </row>
    <row r="101" spans="1:3" x14ac:dyDescent="0.25">
      <c r="A101" s="3" t="s">
        <v>246</v>
      </c>
      <c r="B101" s="7">
        <f>VLOOKUP(UFLS!A101,DB!$A$3:$C$1246,2,0)</f>
        <v>9.2599780000000003</v>
      </c>
      <c r="C101" s="7">
        <f>VLOOKUP(UFLS!A101,DB!$A$3:$C$1246,3,0)</f>
        <v>1.319483</v>
      </c>
    </row>
    <row r="102" spans="1:3" x14ac:dyDescent="0.25">
      <c r="A102" s="3" t="s">
        <v>366</v>
      </c>
      <c r="B102" s="7">
        <f>VLOOKUP(UFLS!A102,DB!$A$3:$C$1246,2,0)</f>
        <v>9.3000000000000007</v>
      </c>
      <c r="C102" s="7">
        <f>VLOOKUP(UFLS!A102,DB!$A$3:$C$1246,3,0)</f>
        <v>1.8884430000000001</v>
      </c>
    </row>
    <row r="103" spans="1:3" x14ac:dyDescent="0.25">
      <c r="A103" s="3" t="s">
        <v>346</v>
      </c>
      <c r="B103" s="7">
        <f>VLOOKUP(UFLS!A103,DB!$A$3:$C$1246,2,0)</f>
        <v>9.4060749999999995</v>
      </c>
      <c r="C103" s="7">
        <f>VLOOKUP(UFLS!A103,DB!$A$3:$C$1246,3,0)</f>
        <v>0</v>
      </c>
    </row>
    <row r="104" spans="1:3" x14ac:dyDescent="0.25">
      <c r="A104" s="3" t="s">
        <v>318</v>
      </c>
      <c r="B104" s="7">
        <f>VLOOKUP(UFLS!A104,DB!$A$3:$C$1246,2,0)</f>
        <v>9.6888480000000001</v>
      </c>
      <c r="C104" s="7">
        <f>VLOOKUP(UFLS!A104,DB!$A$3:$C$1246,3,0)</f>
        <v>0</v>
      </c>
    </row>
    <row r="105" spans="1:3" x14ac:dyDescent="0.25">
      <c r="A105" s="3" t="s">
        <v>343</v>
      </c>
      <c r="B105" s="7">
        <f>VLOOKUP(UFLS!A105,DB!$A$3:$C$1246,2,0)</f>
        <v>9.9701599999999999</v>
      </c>
      <c r="C105" s="7">
        <f>VLOOKUP(UFLS!A105,DB!$A$3:$C$1246,3,0)</f>
        <v>24.269120000000001</v>
      </c>
    </row>
    <row r="106" spans="1:3" x14ac:dyDescent="0.25">
      <c r="A106" s="3" t="s">
        <v>412</v>
      </c>
      <c r="B106" s="7">
        <f>VLOOKUP(UFLS!A106,DB!$A$3:$C$1246,2,0)</f>
        <v>10.09801</v>
      </c>
      <c r="C106" s="7">
        <f>VLOOKUP(UFLS!A106,DB!$A$3:$C$1246,3,0)</f>
        <v>4.6007879999999997</v>
      </c>
    </row>
    <row r="107" spans="1:3" x14ac:dyDescent="0.25">
      <c r="A107" s="3" t="s">
        <v>411</v>
      </c>
      <c r="B107" s="7">
        <f>VLOOKUP(UFLS!A107,DB!$A$3:$C$1246,2,0)</f>
        <v>10.26516</v>
      </c>
      <c r="C107" s="7">
        <f>VLOOKUP(UFLS!A107,DB!$A$3:$C$1246,3,0)</f>
        <v>4.971641</v>
      </c>
    </row>
    <row r="108" spans="1:3" x14ac:dyDescent="0.25">
      <c r="A108" s="3" t="s">
        <v>367</v>
      </c>
      <c r="B108" s="7">
        <f>VLOOKUP(UFLS!A108,DB!$A$3:$C$1246,2,0)</f>
        <v>10.46644</v>
      </c>
      <c r="C108" s="7">
        <f>VLOOKUP(UFLS!A108,DB!$A$3:$C$1246,3,0)</f>
        <v>0</v>
      </c>
    </row>
    <row r="109" spans="1:3" x14ac:dyDescent="0.25">
      <c r="A109" s="3" t="s">
        <v>460</v>
      </c>
      <c r="B109" s="7">
        <f>VLOOKUP(UFLS!A109,DB!$A$3:$C$1246,2,0)</f>
        <v>10.685129999999999</v>
      </c>
      <c r="C109" s="7">
        <f>VLOOKUP(UFLS!A109,DB!$A$3:$C$1246,3,0)</f>
        <v>0</v>
      </c>
    </row>
    <row r="110" spans="1:3" x14ac:dyDescent="0.25">
      <c r="A110" s="3" t="s">
        <v>321</v>
      </c>
      <c r="B110" s="7">
        <f>VLOOKUP(UFLS!A110,DB!$A$3:$C$1246,2,0)</f>
        <v>11.036630000000001</v>
      </c>
      <c r="C110" s="7">
        <f>VLOOKUP(UFLS!A110,DB!$A$3:$C$1246,3,0)</f>
        <v>0</v>
      </c>
    </row>
    <row r="111" spans="1:3" x14ac:dyDescent="0.25">
      <c r="A111" s="3" t="s">
        <v>272</v>
      </c>
      <c r="B111" s="7">
        <f>VLOOKUP(UFLS!A111,DB!$A$3:$C$1246,2,0)</f>
        <v>11.04134</v>
      </c>
      <c r="C111" s="7">
        <f>VLOOKUP(UFLS!A111,DB!$A$3:$C$1246,3,0)</f>
        <v>4.7035900000000002</v>
      </c>
    </row>
    <row r="112" spans="1:3" x14ac:dyDescent="0.25">
      <c r="A112" s="3" t="s">
        <v>289</v>
      </c>
      <c r="B112" s="7">
        <f>VLOOKUP(UFLS!A112,DB!$A$3:$C$1246,2,0)</f>
        <v>11.085459999999999</v>
      </c>
      <c r="C112" s="7">
        <f>VLOOKUP(UFLS!A112,DB!$A$3:$C$1246,3,0)</f>
        <v>2.2509969999999999</v>
      </c>
    </row>
    <row r="113" spans="1:3" x14ac:dyDescent="0.25">
      <c r="A113" s="3" t="s">
        <v>263</v>
      </c>
      <c r="B113" s="7">
        <f>VLOOKUP(UFLS!A113,DB!$A$3:$C$1246,2,0)</f>
        <v>11.27155</v>
      </c>
      <c r="C113" s="7">
        <f>VLOOKUP(UFLS!A113,DB!$A$3:$C$1246,3,0)</f>
        <v>4.4548019999999999</v>
      </c>
    </row>
    <row r="114" spans="1:3" x14ac:dyDescent="0.25">
      <c r="A114" s="3" t="s">
        <v>378</v>
      </c>
      <c r="B114" s="7">
        <f>VLOOKUP(UFLS!A114,DB!$A$3:$C$1246,2,0)</f>
        <v>11.413449999999999</v>
      </c>
      <c r="C114" s="7">
        <f>VLOOKUP(UFLS!A114,DB!$A$3:$C$1246,3,0)</f>
        <v>2.8604769999999999</v>
      </c>
    </row>
    <row r="115" spans="1:3" x14ac:dyDescent="0.25">
      <c r="A115" s="3" t="s">
        <v>320</v>
      </c>
      <c r="B115" s="7">
        <f>VLOOKUP(UFLS!A115,DB!$A$3:$C$1246,2,0)</f>
        <v>11.429209999999999</v>
      </c>
      <c r="C115" s="7">
        <f>VLOOKUP(UFLS!A115,DB!$A$3:$C$1246,3,0)</f>
        <v>9.7738230000000001</v>
      </c>
    </row>
    <row r="116" spans="1:3" x14ac:dyDescent="0.25">
      <c r="A116" s="3" t="s">
        <v>250</v>
      </c>
      <c r="B116" s="7">
        <f>VLOOKUP(UFLS!A116,DB!$A$3:$C$1246,2,0)</f>
        <v>11.72461</v>
      </c>
      <c r="C116" s="7">
        <f>VLOOKUP(UFLS!A116,DB!$A$3:$C$1246,3,0)</f>
        <v>0</v>
      </c>
    </row>
    <row r="117" spans="1:3" x14ac:dyDescent="0.25">
      <c r="A117" s="3" t="s">
        <v>371</v>
      </c>
      <c r="B117" s="7">
        <f>VLOOKUP(UFLS!A117,DB!$A$3:$C$1246,2,0)</f>
        <v>11.991099999999999</v>
      </c>
      <c r="C117" s="7">
        <f>VLOOKUP(UFLS!A117,DB!$A$3:$C$1246,3,0)</f>
        <v>4.3521900000000002</v>
      </c>
    </row>
    <row r="118" spans="1:3" x14ac:dyDescent="0.25">
      <c r="A118" s="3" t="s">
        <v>439</v>
      </c>
      <c r="B118" s="7">
        <f>VLOOKUP(UFLS!A118,DB!$A$3:$C$1246,2,0)</f>
        <v>12.10984</v>
      </c>
      <c r="C118" s="7">
        <f>VLOOKUP(UFLS!A118,DB!$A$3:$C$1246,3,0)</f>
        <v>0</v>
      </c>
    </row>
    <row r="119" spans="1:3" x14ac:dyDescent="0.25">
      <c r="A119" s="3" t="s">
        <v>279</v>
      </c>
      <c r="B119" s="7">
        <f>VLOOKUP(UFLS!A119,DB!$A$3:$C$1246,2,0)</f>
        <v>12.52514</v>
      </c>
      <c r="C119" s="7">
        <f>VLOOKUP(UFLS!A119,DB!$A$3:$C$1246,3,0)</f>
        <v>0.23145969999999999</v>
      </c>
    </row>
    <row r="120" spans="1:3" x14ac:dyDescent="0.25">
      <c r="A120" s="3" t="s">
        <v>304</v>
      </c>
      <c r="B120" s="7">
        <f>VLOOKUP(UFLS!A120,DB!$A$3:$C$1246,2,0)</f>
        <v>12.562480000000001</v>
      </c>
      <c r="C120" s="7">
        <f>VLOOKUP(UFLS!A120,DB!$A$3:$C$1246,3,0)</f>
        <v>0</v>
      </c>
    </row>
    <row r="121" spans="1:3" x14ac:dyDescent="0.25">
      <c r="A121" s="3" t="s">
        <v>296</v>
      </c>
      <c r="B121" s="7">
        <f>VLOOKUP(UFLS!A121,DB!$A$3:$C$1246,2,0)</f>
        <v>12.58478</v>
      </c>
      <c r="C121" s="7">
        <f>VLOOKUP(UFLS!A121,DB!$A$3:$C$1246,3,0)</f>
        <v>1.7932330000000001</v>
      </c>
    </row>
    <row r="122" spans="1:3" x14ac:dyDescent="0.25">
      <c r="A122" s="3" t="s">
        <v>315</v>
      </c>
      <c r="B122" s="7">
        <f>VLOOKUP(UFLS!A122,DB!$A$3:$C$1246,2,0)</f>
        <v>12.82225</v>
      </c>
      <c r="C122" s="7">
        <f>VLOOKUP(UFLS!A122,DB!$A$3:$C$1246,3,0)</f>
        <v>2.6036700000000002</v>
      </c>
    </row>
    <row r="123" spans="1:3" x14ac:dyDescent="0.25">
      <c r="A123" s="3" t="s">
        <v>344</v>
      </c>
      <c r="B123" s="7">
        <f>VLOOKUP(UFLS!A123,DB!$A$3:$C$1246,2,0)</f>
        <v>12.920820000000001</v>
      </c>
      <c r="C123" s="7">
        <f>VLOOKUP(UFLS!A123,DB!$A$3:$C$1246,3,0)</f>
        <v>1.841108</v>
      </c>
    </row>
    <row r="124" spans="1:3" x14ac:dyDescent="0.25">
      <c r="A124" s="3" t="s">
        <v>450</v>
      </c>
      <c r="B124" s="7">
        <f>VLOOKUP(UFLS!A124,DB!$A$3:$C$1246,2,0)</f>
        <v>12.94087</v>
      </c>
      <c r="C124" s="7">
        <f>VLOOKUP(UFLS!A124,DB!$A$3:$C$1246,3,0)</f>
        <v>4.253463</v>
      </c>
    </row>
    <row r="125" spans="1:3" x14ac:dyDescent="0.25">
      <c r="A125" s="3" t="s">
        <v>342</v>
      </c>
      <c r="B125" s="7">
        <f>VLOOKUP(UFLS!A125,DB!$A$3:$C$1246,2,0)</f>
        <v>13.13143</v>
      </c>
      <c r="C125" s="7">
        <f>VLOOKUP(UFLS!A125,DB!$A$3:$C$1246,3,0)</f>
        <v>0</v>
      </c>
    </row>
    <row r="126" spans="1:3" x14ac:dyDescent="0.25">
      <c r="A126" s="3" t="s">
        <v>308</v>
      </c>
      <c r="B126" s="7">
        <f>VLOOKUP(UFLS!A126,DB!$A$3:$C$1246,2,0)</f>
        <v>13.41581</v>
      </c>
      <c r="C126" s="7">
        <f>VLOOKUP(UFLS!A126,DB!$A$3:$C$1246,3,0)</f>
        <v>0</v>
      </c>
    </row>
    <row r="127" spans="1:3" x14ac:dyDescent="0.25">
      <c r="A127" s="3" t="s">
        <v>445</v>
      </c>
      <c r="B127" s="7">
        <f>VLOOKUP(UFLS!A127,DB!$A$3:$C$1246,2,0)</f>
        <v>13.488630000000001</v>
      </c>
      <c r="C127" s="7">
        <f>VLOOKUP(UFLS!A127,DB!$A$3:$C$1246,3,0)</f>
        <v>0</v>
      </c>
    </row>
    <row r="128" spans="1:3" x14ac:dyDescent="0.25">
      <c r="A128" s="3" t="s">
        <v>316</v>
      </c>
      <c r="B128" s="7">
        <f>VLOOKUP(UFLS!A128,DB!$A$3:$C$1246,2,0)</f>
        <v>13.534549999999999</v>
      </c>
      <c r="C128" s="7">
        <f>VLOOKUP(UFLS!A128,DB!$A$3:$C$1246,3,0)</f>
        <v>1.928572</v>
      </c>
    </row>
    <row r="129" spans="1:3" x14ac:dyDescent="0.25">
      <c r="A129" s="3" t="s">
        <v>277</v>
      </c>
      <c r="B129" s="7">
        <f>VLOOKUP(UFLS!A129,DB!$A$3:$C$1246,2,0)</f>
        <v>13.574249999999999</v>
      </c>
      <c r="C129" s="7">
        <f>VLOOKUP(UFLS!A129,DB!$A$3:$C$1246,3,0)</f>
        <v>1.934221</v>
      </c>
    </row>
    <row r="130" spans="1:3" x14ac:dyDescent="0.25">
      <c r="A130" s="3" t="s">
        <v>354</v>
      </c>
      <c r="B130" s="7">
        <f>VLOOKUP(UFLS!A130,DB!$A$3:$C$1246,2,0)</f>
        <v>13.6388</v>
      </c>
      <c r="C130" s="7">
        <f>VLOOKUP(UFLS!A130,DB!$A$3:$C$1246,3,0)</f>
        <v>8.0927810000000004</v>
      </c>
    </row>
    <row r="131" spans="1:3" x14ac:dyDescent="0.25">
      <c r="A131" s="3" t="s">
        <v>424</v>
      </c>
      <c r="B131" s="7">
        <f>VLOOKUP(UFLS!A131,DB!$A$3:$C$1246,2,0)</f>
        <v>13.890750000000001</v>
      </c>
      <c r="C131" s="7">
        <f>VLOOKUP(UFLS!A131,DB!$A$3:$C$1246,3,0)</f>
        <v>-1.9793320000000001</v>
      </c>
    </row>
    <row r="132" spans="1:3" x14ac:dyDescent="0.25">
      <c r="A132" s="3" t="s">
        <v>431</v>
      </c>
      <c r="B132" s="7">
        <f>VLOOKUP(UFLS!A132,DB!$A$3:$C$1246,2,0)</f>
        <v>13.890750000000001</v>
      </c>
      <c r="C132" s="7">
        <f>VLOOKUP(UFLS!A132,DB!$A$3:$C$1246,3,0)</f>
        <v>4.565671</v>
      </c>
    </row>
    <row r="133" spans="1:3" x14ac:dyDescent="0.25">
      <c r="A133" s="3" t="s">
        <v>317</v>
      </c>
      <c r="B133" s="7">
        <f>VLOOKUP(UFLS!A133,DB!$A$3:$C$1246,2,0)</f>
        <v>14.00949</v>
      </c>
      <c r="C133" s="7">
        <f>VLOOKUP(UFLS!A133,DB!$A$3:$C$1246,3,0)</f>
        <v>2.8447480000000001</v>
      </c>
    </row>
    <row r="134" spans="1:3" x14ac:dyDescent="0.25">
      <c r="A134" s="3" t="s">
        <v>433</v>
      </c>
      <c r="B134" s="7">
        <f>VLOOKUP(UFLS!A134,DB!$A$3:$C$1246,2,0)</f>
        <v>14.00949</v>
      </c>
      <c r="C134" s="7">
        <f>VLOOKUP(UFLS!A134,DB!$A$3:$C$1246,3,0)</f>
        <v>4.604698</v>
      </c>
    </row>
    <row r="135" spans="1:3" x14ac:dyDescent="0.25">
      <c r="A135" s="3" t="s">
        <v>322</v>
      </c>
      <c r="B135" s="7">
        <f>VLOOKUP(UFLS!A135,DB!$A$3:$C$1246,2,0)</f>
        <v>14.105230000000001</v>
      </c>
      <c r="C135" s="7">
        <f>VLOOKUP(UFLS!A135,DB!$A$3:$C$1246,3,0)</f>
        <v>4.1140270000000001</v>
      </c>
    </row>
    <row r="136" spans="1:3" x14ac:dyDescent="0.25">
      <c r="A136" s="3" t="s">
        <v>420</v>
      </c>
      <c r="B136" s="7">
        <f>VLOOKUP(UFLS!A136,DB!$A$3:$C$1246,2,0)</f>
        <v>14.41123</v>
      </c>
      <c r="C136" s="7">
        <f>VLOOKUP(UFLS!A136,DB!$A$3:$C$1246,3,0)</f>
        <v>6.5659580000000002</v>
      </c>
    </row>
    <row r="137" spans="1:3" x14ac:dyDescent="0.25">
      <c r="A137" s="3" t="s">
        <v>384</v>
      </c>
      <c r="B137" s="7">
        <f>VLOOKUP(UFLS!A137,DB!$A$3:$C$1246,2,0)</f>
        <v>14.484310000000001</v>
      </c>
      <c r="C137" s="7">
        <f>VLOOKUP(UFLS!A137,DB!$A$3:$C$1246,3,0)</f>
        <v>2.0639090000000002</v>
      </c>
    </row>
    <row r="138" spans="1:3" x14ac:dyDescent="0.25">
      <c r="A138" s="3" t="s">
        <v>432</v>
      </c>
      <c r="B138" s="7">
        <f>VLOOKUP(UFLS!A138,DB!$A$3:$C$1246,2,0)</f>
        <v>14.484310000000001</v>
      </c>
      <c r="C138" s="7">
        <f>VLOOKUP(UFLS!A138,DB!$A$3:$C$1246,3,0)</f>
        <v>6.5992470000000001</v>
      </c>
    </row>
    <row r="139" spans="1:3" x14ac:dyDescent="0.25">
      <c r="A139" s="3" t="s">
        <v>459</v>
      </c>
      <c r="B139" s="7">
        <f>VLOOKUP(UFLS!A139,DB!$A$3:$C$1246,2,0)</f>
        <v>14.721780000000001</v>
      </c>
      <c r="C139" s="7">
        <f>VLOOKUP(UFLS!A139,DB!$A$3:$C$1246,3,0)</f>
        <v>3.6896260000000001</v>
      </c>
    </row>
    <row r="140" spans="1:3" x14ac:dyDescent="0.25">
      <c r="A140" s="3" t="s">
        <v>440</v>
      </c>
      <c r="B140" s="7">
        <f>VLOOKUP(UFLS!A140,DB!$A$3:$C$1246,2,0)</f>
        <v>14.959250000000001</v>
      </c>
      <c r="C140" s="7">
        <f>VLOOKUP(UFLS!A140,DB!$A$3:$C$1246,3,0)</f>
        <v>5.9122709999999996</v>
      </c>
    </row>
    <row r="141" spans="1:3" x14ac:dyDescent="0.25">
      <c r="A141" s="3" t="s">
        <v>256</v>
      </c>
      <c r="B141" s="7">
        <f>VLOOKUP(UFLS!A141,DB!$A$3:$C$1246,2,0)</f>
        <v>15.01449</v>
      </c>
      <c r="C141" s="7">
        <f>VLOOKUP(UFLS!A141,DB!$A$3:$C$1246,3,0)</f>
        <v>0</v>
      </c>
    </row>
    <row r="142" spans="1:3" x14ac:dyDescent="0.25">
      <c r="A142" s="3" t="s">
        <v>385</v>
      </c>
      <c r="B142" s="7">
        <f>VLOOKUP(UFLS!A142,DB!$A$3:$C$1246,2,0)</f>
        <v>15.196719999999999</v>
      </c>
      <c r="C142" s="7">
        <f>VLOOKUP(UFLS!A142,DB!$A$3:$C$1246,3,0)</f>
        <v>0</v>
      </c>
    </row>
    <row r="143" spans="1:3" x14ac:dyDescent="0.25">
      <c r="A143" s="3" t="s">
        <v>327</v>
      </c>
      <c r="B143" s="7">
        <f>VLOOKUP(UFLS!A143,DB!$A$3:$C$1246,2,0)</f>
        <v>15.340909999999999</v>
      </c>
      <c r="C143" s="7">
        <f>VLOOKUP(UFLS!A143,DB!$A$3:$C$1246,3,0)</f>
        <v>2.1859609999999998</v>
      </c>
    </row>
    <row r="144" spans="1:3" x14ac:dyDescent="0.25">
      <c r="A144" s="3" t="s">
        <v>360</v>
      </c>
      <c r="B144" s="7">
        <f>VLOOKUP(UFLS!A144,DB!$A$3:$C$1246,2,0)</f>
        <v>15.6127</v>
      </c>
      <c r="C144" s="7">
        <f>VLOOKUP(UFLS!A144,DB!$A$3:$C$1246,3,0)</f>
        <v>2.2246739999999998</v>
      </c>
    </row>
    <row r="145" spans="1:3" x14ac:dyDescent="0.25">
      <c r="A145" s="3" t="s">
        <v>448</v>
      </c>
      <c r="B145" s="7">
        <f>VLOOKUP(UFLS!A145,DB!$A$3:$C$1246,2,0)</f>
        <v>15.790290000000001</v>
      </c>
      <c r="C145" s="7">
        <f>VLOOKUP(UFLS!A145,DB!$A$3:$C$1246,3,0)</f>
        <v>-7.6475819999999999</v>
      </c>
    </row>
    <row r="146" spans="1:3" x14ac:dyDescent="0.25">
      <c r="A146" s="3" t="s">
        <v>376</v>
      </c>
      <c r="B146" s="7">
        <f>VLOOKUP(UFLS!A146,DB!$A$3:$C$1246,2,0)</f>
        <v>15.82807</v>
      </c>
      <c r="C146" s="7">
        <f>VLOOKUP(UFLS!A146,DB!$A$3:$C$1246,3,0)</f>
        <v>3.214013</v>
      </c>
    </row>
    <row r="147" spans="1:3" x14ac:dyDescent="0.25">
      <c r="A147" s="3" t="s">
        <v>429</v>
      </c>
      <c r="B147" s="7">
        <f>VLOOKUP(UFLS!A147,DB!$A$3:$C$1246,2,0)</f>
        <v>16.027750000000001</v>
      </c>
      <c r="C147" s="7">
        <f>VLOOKUP(UFLS!A147,DB!$A$3:$C$1246,3,0)</f>
        <v>-3.2545739999999999</v>
      </c>
    </row>
    <row r="148" spans="1:3" x14ac:dyDescent="0.25">
      <c r="A148" s="3" t="s">
        <v>324</v>
      </c>
      <c r="B148" s="7">
        <f>VLOOKUP(UFLS!A148,DB!$A$3:$C$1246,2,0)</f>
        <v>16.057960000000001</v>
      </c>
      <c r="C148" s="7">
        <f>VLOOKUP(UFLS!A148,DB!$A$3:$C$1246,3,0)</f>
        <v>3.2607059999999999</v>
      </c>
    </row>
    <row r="149" spans="1:3" x14ac:dyDescent="0.25">
      <c r="A149" s="3" t="s">
        <v>374</v>
      </c>
      <c r="B149" s="7">
        <f>VLOOKUP(UFLS!A149,DB!$A$3:$C$1246,2,0)</f>
        <v>16.265219999999999</v>
      </c>
      <c r="C149" s="7">
        <f>VLOOKUP(UFLS!A149,DB!$A$3:$C$1246,3,0)</f>
        <v>4.7440369999999996</v>
      </c>
    </row>
    <row r="150" spans="1:3" x14ac:dyDescent="0.25">
      <c r="A150" s="3" t="s">
        <v>383</v>
      </c>
      <c r="B150" s="7">
        <f>VLOOKUP(UFLS!A150,DB!$A$3:$C$1246,2,0)</f>
        <v>16.265219999999999</v>
      </c>
      <c r="C150" s="7">
        <f>VLOOKUP(UFLS!A150,DB!$A$3:$C$1246,3,0)</f>
        <v>2.3176670000000001</v>
      </c>
    </row>
    <row r="151" spans="1:3" x14ac:dyDescent="0.25">
      <c r="A151" s="3" t="s">
        <v>329</v>
      </c>
      <c r="B151" s="7">
        <f>VLOOKUP(UFLS!A151,DB!$A$3:$C$1246,2,0)</f>
        <v>16.366389999999999</v>
      </c>
      <c r="C151" s="7">
        <f>VLOOKUP(UFLS!A151,DB!$A$3:$C$1246,3,0)</f>
        <v>0</v>
      </c>
    </row>
    <row r="152" spans="1:3" x14ac:dyDescent="0.25">
      <c r="A152" s="3" t="s">
        <v>278</v>
      </c>
      <c r="B152" s="7">
        <f>VLOOKUP(UFLS!A152,DB!$A$3:$C$1246,2,0)</f>
        <v>16.69378</v>
      </c>
      <c r="C152" s="7">
        <f>VLOOKUP(UFLS!A152,DB!$A$3:$C$1246,3,0)</f>
        <v>4.1838689999999996</v>
      </c>
    </row>
    <row r="153" spans="1:3" x14ac:dyDescent="0.25">
      <c r="A153" s="3" t="s">
        <v>442</v>
      </c>
      <c r="B153" s="7">
        <f>VLOOKUP(UFLS!A153,DB!$A$3:$C$1246,2,0)</f>
        <v>16.858789999999999</v>
      </c>
      <c r="C153" s="7">
        <f>VLOOKUP(UFLS!A153,DB!$A$3:$C$1246,3,0)</f>
        <v>2.4022389999999998</v>
      </c>
    </row>
    <row r="154" spans="1:3" x14ac:dyDescent="0.25">
      <c r="A154" s="3" t="s">
        <v>265</v>
      </c>
      <c r="B154" s="7">
        <f>VLOOKUP(UFLS!A154,DB!$A$3:$C$1246,2,0)</f>
        <v>16.860869999999998</v>
      </c>
      <c r="C154" s="7">
        <f>VLOOKUP(UFLS!A154,DB!$A$3:$C$1246,3,0)</f>
        <v>0</v>
      </c>
    </row>
    <row r="155" spans="1:3" x14ac:dyDescent="0.25">
      <c r="A155" s="3" t="s">
        <v>323</v>
      </c>
      <c r="B155" s="7">
        <f>VLOOKUP(UFLS!A155,DB!$A$3:$C$1246,2,0)</f>
        <v>16.958259999999999</v>
      </c>
      <c r="C155" s="7">
        <f>VLOOKUP(UFLS!A155,DB!$A$3:$C$1246,3,0)</f>
        <v>3.4435229999999999</v>
      </c>
    </row>
    <row r="156" spans="1:3" x14ac:dyDescent="0.25">
      <c r="A156" s="3" t="s">
        <v>325</v>
      </c>
      <c r="B156" s="7">
        <f>VLOOKUP(UFLS!A156,DB!$A$3:$C$1246,2,0)</f>
        <v>17.1999</v>
      </c>
      <c r="C156" s="7">
        <f>VLOOKUP(UFLS!A156,DB!$A$3:$C$1246,3,0)</f>
        <v>0</v>
      </c>
    </row>
    <row r="157" spans="1:3" x14ac:dyDescent="0.25">
      <c r="A157" s="10" t="s">
        <v>350</v>
      </c>
      <c r="B157" s="7">
        <f>VLOOKUP(UFLS!A157,DB!$A$3:$C$1246,2,0)</f>
        <v>17.87247</v>
      </c>
      <c r="C157" s="7">
        <f>VLOOKUP(UFLS!A157,DB!$A$3:$C$1246,3,0)</f>
        <v>4.4792649999999998</v>
      </c>
    </row>
    <row r="158" spans="1:3" x14ac:dyDescent="0.25">
      <c r="A158" s="3" t="s">
        <v>357</v>
      </c>
      <c r="B158" s="7">
        <f>VLOOKUP(UFLS!A158,DB!$A$3:$C$1246,2,0)</f>
        <v>17.58943</v>
      </c>
      <c r="C158" s="7">
        <f>VLOOKUP(UFLS!A158,DB!$A$3:$C$1246,3,0)</f>
        <v>0</v>
      </c>
    </row>
    <row r="159" spans="1:3" x14ac:dyDescent="0.25">
      <c r="A159" s="3" t="s">
        <v>408</v>
      </c>
      <c r="B159" s="7">
        <f>VLOOKUP(UFLS!A159,DB!$A$3:$C$1246,2,0)</f>
        <v>17.663679999999999</v>
      </c>
      <c r="C159" s="7">
        <f>VLOOKUP(UFLS!A159,DB!$A$3:$C$1246,3,0)</f>
        <v>0</v>
      </c>
    </row>
    <row r="160" spans="1:3" x14ac:dyDescent="0.25">
      <c r="A160" s="10" t="s">
        <v>393</v>
      </c>
      <c r="B160" s="7">
        <f>VLOOKUP(UFLS!A160,DB!$A$3:$C$1246,2,0)</f>
        <v>11.94571</v>
      </c>
      <c r="C160" s="7">
        <f>VLOOKUP(UFLS!A160,DB!$A$3:$C$1246,3,0)</f>
        <v>-1.702162</v>
      </c>
    </row>
    <row r="161" spans="1:3" x14ac:dyDescent="0.25">
      <c r="A161" s="3" t="s">
        <v>255</v>
      </c>
      <c r="B161" s="7">
        <f>VLOOKUP(UFLS!A161,DB!$A$3:$C$1246,2,0)</f>
        <v>17.913709999999998</v>
      </c>
      <c r="C161" s="7">
        <f>VLOOKUP(UFLS!A161,DB!$A$3:$C$1246,3,0)</f>
        <v>3.6375310000000001</v>
      </c>
    </row>
    <row r="162" spans="1:3" x14ac:dyDescent="0.25">
      <c r="A162" s="3" t="s">
        <v>282</v>
      </c>
      <c r="B162" s="7">
        <f>VLOOKUP(UFLS!A162,DB!$A$3:$C$1246,2,0)</f>
        <v>17.913869999999999</v>
      </c>
      <c r="C162" s="7">
        <f>VLOOKUP(UFLS!A162,DB!$A$3:$C$1246,3,0)</f>
        <v>5.2248840000000003</v>
      </c>
    </row>
    <row r="163" spans="1:3" x14ac:dyDescent="0.25">
      <c r="A163" s="3" t="s">
        <v>251</v>
      </c>
      <c r="B163" s="7">
        <f>VLOOKUP(UFLS!A163,DB!$A$3:$C$1246,2,0)</f>
        <v>17.985589999999998</v>
      </c>
      <c r="C163" s="7">
        <f>VLOOKUP(UFLS!A163,DB!$A$3:$C$1246,3,0)</f>
        <v>0</v>
      </c>
    </row>
    <row r="164" spans="1:3" x14ac:dyDescent="0.25">
      <c r="A164" s="3" t="s">
        <v>356</v>
      </c>
      <c r="B164" s="7">
        <f>VLOOKUP(UFLS!A164,DB!$A$3:$C$1246,2,0)</f>
        <v>18.529969999999999</v>
      </c>
      <c r="C164" s="7">
        <f>VLOOKUP(UFLS!A164,DB!$A$3:$C$1246,3,0)</f>
        <v>0</v>
      </c>
    </row>
    <row r="165" spans="1:3" x14ac:dyDescent="0.25">
      <c r="A165" s="3" t="s">
        <v>373</v>
      </c>
      <c r="B165" s="7">
        <f>VLOOKUP(UFLS!A165,DB!$A$3:$C$1246,2,0)</f>
        <v>18.639700000000001</v>
      </c>
      <c r="C165" s="7">
        <f>VLOOKUP(UFLS!A165,DB!$A$3:$C$1246,3,0)</f>
        <v>3.7849569999999999</v>
      </c>
    </row>
    <row r="166" spans="1:3" x14ac:dyDescent="0.25">
      <c r="A166" s="3" t="s">
        <v>425</v>
      </c>
      <c r="B166" s="7">
        <f>VLOOKUP(UFLS!A166,DB!$A$3:$C$1246,2,0)</f>
        <v>18.758430000000001</v>
      </c>
      <c r="C166" s="7">
        <f>VLOOKUP(UFLS!A166,DB!$A$3:$C$1246,3,0)</f>
        <v>6.1656089999999999</v>
      </c>
    </row>
    <row r="167" spans="1:3" x14ac:dyDescent="0.25">
      <c r="A167" s="3" t="s">
        <v>345</v>
      </c>
      <c r="B167" s="7">
        <f>VLOOKUP(UFLS!A167,DB!$A$3:$C$1246,2,0)</f>
        <v>19.188420000000001</v>
      </c>
      <c r="C167" s="7">
        <f>VLOOKUP(UFLS!A167,DB!$A$3:$C$1246,3,0)</f>
        <v>0</v>
      </c>
    </row>
    <row r="168" spans="1:3" x14ac:dyDescent="0.25">
      <c r="A168" s="3" t="s">
        <v>428</v>
      </c>
      <c r="B168" s="7">
        <f>VLOOKUP(UFLS!A168,DB!$A$3:$C$1246,2,0)</f>
        <v>19.47073</v>
      </c>
      <c r="C168" s="7">
        <f>VLOOKUP(UFLS!A168,DB!$A$3:$C$1246,3,0)</f>
        <v>2.7744550000000001</v>
      </c>
    </row>
    <row r="169" spans="1:3" x14ac:dyDescent="0.25">
      <c r="A169" s="3" t="s">
        <v>398</v>
      </c>
      <c r="B169" s="7">
        <f>VLOOKUP(UFLS!A169,DB!$A$3:$C$1246,2,0)</f>
        <v>19.589469999999999</v>
      </c>
      <c r="C169" s="7">
        <f>VLOOKUP(UFLS!A169,DB!$A$3:$C$1246,3,0)</f>
        <v>-3.9778060000000002</v>
      </c>
    </row>
    <row r="170" spans="1:3" x14ac:dyDescent="0.25">
      <c r="A170" s="3" t="s">
        <v>375</v>
      </c>
      <c r="B170" s="7">
        <f>VLOOKUP(UFLS!A170,DB!$A$3:$C$1246,2,0)</f>
        <v>20.301760000000002</v>
      </c>
      <c r="C170" s="7">
        <f>VLOOKUP(UFLS!A170,DB!$A$3:$C$1246,3,0)</f>
        <v>2.8928470000000002</v>
      </c>
    </row>
    <row r="171" spans="1:3" x14ac:dyDescent="0.25">
      <c r="A171" s="3" t="s">
        <v>311</v>
      </c>
      <c r="B171" s="7">
        <f>VLOOKUP(UFLS!A171,DB!$A$3:$C$1246,2,0)</f>
        <v>20.414650000000002</v>
      </c>
      <c r="C171" s="7">
        <f>VLOOKUP(UFLS!A171,DB!$A$3:$C$1246,3,0)</f>
        <v>1.5941620000000001</v>
      </c>
    </row>
    <row r="172" spans="1:3" x14ac:dyDescent="0.25">
      <c r="A172" s="3" t="s">
        <v>418</v>
      </c>
      <c r="B172" s="7">
        <f>VLOOKUP(UFLS!A172,DB!$A$3:$C$1246,2,0)</f>
        <v>20.554169999999999</v>
      </c>
      <c r="C172" s="7">
        <f>VLOOKUP(UFLS!A172,DB!$A$3:$C$1246,3,0)</f>
        <v>0</v>
      </c>
    </row>
    <row r="173" spans="1:3" x14ac:dyDescent="0.25">
      <c r="A173" s="3" t="s">
        <v>362</v>
      </c>
      <c r="B173" s="7">
        <f>VLOOKUP(UFLS!A173,DB!$A$3:$C$1246,2,0)</f>
        <v>20.875340000000001</v>
      </c>
      <c r="C173" s="7">
        <f>VLOOKUP(UFLS!A173,DB!$A$3:$C$1246,3,0)</f>
        <v>4.2389169999999998</v>
      </c>
    </row>
    <row r="174" spans="1:3" x14ac:dyDescent="0.25">
      <c r="A174" s="3" t="s">
        <v>269</v>
      </c>
      <c r="B174" s="7">
        <f>VLOOKUP(UFLS!A174,DB!$A$3:$C$1246,2,0)</f>
        <v>21.132909999999999</v>
      </c>
      <c r="C174" s="7">
        <f>VLOOKUP(UFLS!A174,DB!$A$3:$C$1246,3,0)</f>
        <v>0</v>
      </c>
    </row>
    <row r="175" spans="1:3" x14ac:dyDescent="0.25">
      <c r="A175" s="3" t="s">
        <v>339</v>
      </c>
      <c r="B175" s="7">
        <f>VLOOKUP(UFLS!A175,DB!$A$3:$C$1246,2,0)</f>
        <v>21.489000000000001</v>
      </c>
      <c r="C175" s="7">
        <f>VLOOKUP(UFLS!A175,DB!$A$3:$C$1246,3,0)</f>
        <v>7.0630870000000003</v>
      </c>
    </row>
    <row r="176" spans="1:3" x14ac:dyDescent="0.25">
      <c r="A176" s="3" t="s">
        <v>397</v>
      </c>
      <c r="B176" s="7">
        <f>VLOOKUP(UFLS!A176,DB!$A$3:$C$1246,2,0)</f>
        <v>21.60773</v>
      </c>
      <c r="C176" s="7">
        <f>VLOOKUP(UFLS!A176,DB!$A$3:$C$1246,3,0)</f>
        <v>-5.4154070000000001</v>
      </c>
    </row>
    <row r="177" spans="1:3" x14ac:dyDescent="0.25">
      <c r="A177" s="3" t="s">
        <v>441</v>
      </c>
      <c r="B177" s="7">
        <f>VLOOKUP(UFLS!A177,DB!$A$3:$C$1246,2,0)</f>
        <v>21.845210000000002</v>
      </c>
      <c r="C177" s="7">
        <f>VLOOKUP(UFLS!A177,DB!$A$3:$C$1246,3,0)</f>
        <v>4.4358769999999996</v>
      </c>
    </row>
    <row r="178" spans="1:3" x14ac:dyDescent="0.25">
      <c r="A178" s="3" t="s">
        <v>254</v>
      </c>
      <c r="B178" s="7">
        <f>VLOOKUP(UFLS!A178,DB!$A$3:$C$1246,2,0)</f>
        <v>23.28397</v>
      </c>
      <c r="C178" s="7">
        <f>VLOOKUP(UFLS!A178,DB!$A$3:$C$1246,3,0)</f>
        <v>5.8355090000000001</v>
      </c>
    </row>
    <row r="179" spans="1:3" x14ac:dyDescent="0.25">
      <c r="A179" s="3" t="s">
        <v>336</v>
      </c>
      <c r="B179" s="7">
        <f>VLOOKUP(UFLS!A179,DB!$A$3:$C$1246,2,0)</f>
        <v>25.128050000000002</v>
      </c>
      <c r="C179" s="7">
        <f>VLOOKUP(UFLS!A179,DB!$A$3:$C$1246,3,0)</f>
        <v>0</v>
      </c>
    </row>
    <row r="180" spans="1:3" x14ac:dyDescent="0.25">
      <c r="A180" s="3" t="s">
        <v>402</v>
      </c>
      <c r="B180" s="7">
        <f>VLOOKUP(UFLS!A180,DB!$A$3:$C$1246,2,0)</f>
        <v>25.525649999999999</v>
      </c>
      <c r="C180" s="7">
        <f>VLOOKUP(UFLS!A180,DB!$A$3:$C$1246,3,0)</f>
        <v>0</v>
      </c>
    </row>
    <row r="181" spans="1:3" x14ac:dyDescent="0.25">
      <c r="A181" s="3" t="s">
        <v>270</v>
      </c>
      <c r="B181" s="7">
        <f>VLOOKUP(UFLS!A181,DB!$A$3:$C$1246,2,0)</f>
        <v>26.47542</v>
      </c>
      <c r="C181" s="7">
        <f>VLOOKUP(UFLS!A181,DB!$A$3:$C$1246,3,0)</f>
        <v>3.7725230000000001</v>
      </c>
    </row>
    <row r="182" spans="1:3" x14ac:dyDescent="0.25">
      <c r="A182" s="3" t="s">
        <v>273</v>
      </c>
      <c r="B182" s="7">
        <f>VLOOKUP(UFLS!A182,DB!$A$3:$C$1246,2,0)</f>
        <v>26.712890000000002</v>
      </c>
      <c r="C182" s="7">
        <f>VLOOKUP(UFLS!A182,DB!$A$3:$C$1246,3,0)</f>
        <v>8.7801069999999992</v>
      </c>
    </row>
    <row r="183" spans="1:3" x14ac:dyDescent="0.25">
      <c r="A183" s="3" t="s">
        <v>421</v>
      </c>
      <c r="B183" s="7">
        <f>VLOOKUP(UFLS!A183,DB!$A$3:$C$1246,2,0)</f>
        <v>26.95036</v>
      </c>
      <c r="C183" s="7">
        <f>VLOOKUP(UFLS!A183,DB!$A$3:$C$1246,3,0)</f>
        <v>6.7544060000000004</v>
      </c>
    </row>
    <row r="184" spans="1:3" x14ac:dyDescent="0.25">
      <c r="A184" s="3" t="s">
        <v>427</v>
      </c>
      <c r="B184" s="7">
        <f>VLOOKUP(UFLS!A184,DB!$A$3:$C$1246,2,0)</f>
        <v>27.069089999999999</v>
      </c>
      <c r="C184" s="7">
        <f>VLOOKUP(UFLS!A184,DB!$A$3:$C$1246,3,0)</f>
        <v>0</v>
      </c>
    </row>
    <row r="185" spans="1:3" x14ac:dyDescent="0.25">
      <c r="A185" s="3" t="s">
        <v>259</v>
      </c>
      <c r="B185" s="7">
        <f>VLOOKUP(UFLS!A185,DB!$A$3:$C$1246,2,0)</f>
        <v>27.26118</v>
      </c>
      <c r="C185" s="7">
        <f>VLOOKUP(UFLS!A185,DB!$A$3:$C$1246,3,0)</f>
        <v>4.710121</v>
      </c>
    </row>
    <row r="186" spans="1:3" x14ac:dyDescent="0.25">
      <c r="A186" s="3" t="s">
        <v>451</v>
      </c>
      <c r="B186" s="7">
        <f>VLOOKUP(UFLS!A186,DB!$A$3:$C$1246,2,0)</f>
        <v>27.662649999999999</v>
      </c>
      <c r="C186" s="7">
        <f>VLOOKUP(UFLS!A186,DB!$A$3:$C$1246,3,0)</f>
        <v>0</v>
      </c>
    </row>
    <row r="187" spans="1:3" x14ac:dyDescent="0.25">
      <c r="A187" s="3" t="s">
        <v>235</v>
      </c>
      <c r="B187" s="7">
        <f>VLOOKUP(UFLS!A187,DB!$A$3:$C$1246,2,0)</f>
        <v>27.900120000000001</v>
      </c>
      <c r="C187" s="7">
        <f>VLOOKUP(UFLS!A187,DB!$A$3:$C$1246,3,0)</f>
        <v>-5.6653609999999999</v>
      </c>
    </row>
    <row r="188" spans="1:3" x14ac:dyDescent="0.25">
      <c r="A188" s="3" t="s">
        <v>352</v>
      </c>
      <c r="B188" s="7">
        <f>VLOOKUP(UFLS!A188,DB!$A$3:$C$1246,2,0)</f>
        <v>29.08736</v>
      </c>
      <c r="C188" s="7">
        <f>VLOOKUP(UFLS!A188,DB!$A$3:$C$1246,3,0)</f>
        <v>4.1447500000000002</v>
      </c>
    </row>
    <row r="189" spans="1:3" x14ac:dyDescent="0.25">
      <c r="A189" s="3" t="s">
        <v>456</v>
      </c>
      <c r="B189" s="7">
        <f>VLOOKUP(UFLS!A189,DB!$A$3:$C$1246,2,0)</f>
        <v>29.08736</v>
      </c>
      <c r="C189" s="7">
        <f>VLOOKUP(UFLS!A189,DB!$A$3:$C$1246,3,0)</f>
        <v>8.4838070000000005</v>
      </c>
    </row>
    <row r="190" spans="1:3" x14ac:dyDescent="0.25">
      <c r="A190" s="3" t="s">
        <v>237</v>
      </c>
      <c r="B190" s="7">
        <f>VLOOKUP(UFLS!A190,DB!$A$3:$C$1246,2,0)</f>
        <v>29.386009999999999</v>
      </c>
      <c r="C190" s="7">
        <f>VLOOKUP(UFLS!A190,DB!$A$3:$C$1246,3,0)</f>
        <v>0</v>
      </c>
    </row>
    <row r="191" spans="1:3" x14ac:dyDescent="0.25">
      <c r="A191" s="3" t="s">
        <v>453</v>
      </c>
      <c r="B191" s="7">
        <f>VLOOKUP(UFLS!A191,DB!$A$3:$C$1246,2,0)</f>
        <v>29.443570000000001</v>
      </c>
      <c r="C191" s="7">
        <f>VLOOKUP(UFLS!A191,DB!$A$3:$C$1246,3,0)</f>
        <v>5.9787530000000002</v>
      </c>
    </row>
    <row r="192" spans="1:3" x14ac:dyDescent="0.25">
      <c r="A192" s="3" t="s">
        <v>306</v>
      </c>
      <c r="B192" s="7">
        <f>VLOOKUP(UFLS!A192,DB!$A$3:$C$1246,2,0)</f>
        <v>30.02834</v>
      </c>
      <c r="C192" s="7">
        <f>VLOOKUP(UFLS!A192,DB!$A$3:$C$1246,3,0)</f>
        <v>4.2787759999999997</v>
      </c>
    </row>
    <row r="193" spans="1:3" x14ac:dyDescent="0.25">
      <c r="A193" s="3" t="s">
        <v>382</v>
      </c>
      <c r="B193" s="7">
        <f>VLOOKUP(UFLS!A193,DB!$A$3:$C$1246,2,0)</f>
        <v>30.2746</v>
      </c>
      <c r="C193" s="7">
        <f>VLOOKUP(UFLS!A193,DB!$A$3:$C$1246,3,0)</f>
        <v>-6.1475140000000001</v>
      </c>
    </row>
    <row r="194" spans="1:3" x14ac:dyDescent="0.25">
      <c r="A194" s="3" t="s">
        <v>438</v>
      </c>
      <c r="B194" s="7">
        <f>VLOOKUP(UFLS!A194,DB!$A$3:$C$1246,2,0)</f>
        <v>30.393329999999999</v>
      </c>
      <c r="C194" s="7">
        <f>VLOOKUP(UFLS!A194,DB!$A$3:$C$1246,3,0)</f>
        <v>9.9582929999999994</v>
      </c>
    </row>
    <row r="195" spans="1:3" x14ac:dyDescent="0.25">
      <c r="A195" s="3" t="s">
        <v>458</v>
      </c>
      <c r="B195" s="7">
        <f>VLOOKUP(UFLS!A195,DB!$A$3:$C$1246,2,0)</f>
        <v>30.630800000000001</v>
      </c>
      <c r="C195" s="7">
        <f>VLOOKUP(UFLS!A195,DB!$A$3:$C$1246,3,0)</f>
        <v>6.2198399999999996</v>
      </c>
    </row>
    <row r="196" spans="1:3" x14ac:dyDescent="0.25">
      <c r="A196" s="3" t="s">
        <v>401</v>
      </c>
      <c r="B196" s="7">
        <f>VLOOKUP(UFLS!A196,DB!$A$3:$C$1246,2,0)</f>
        <v>30.987010000000001</v>
      </c>
      <c r="C196" s="7">
        <f>VLOOKUP(UFLS!A196,DB!$A$3:$C$1246,3,0)</f>
        <v>4.4154309999999999</v>
      </c>
    </row>
    <row r="197" spans="1:3" x14ac:dyDescent="0.25">
      <c r="A197" s="3" t="s">
        <v>247</v>
      </c>
      <c r="B197" s="7">
        <f>VLOOKUP(UFLS!A197,DB!$A$3:$C$1246,2,0)</f>
        <v>31.794750000000001</v>
      </c>
      <c r="C197" s="7">
        <f>VLOOKUP(UFLS!A197,DB!$A$3:$C$1246,3,0)</f>
        <v>0</v>
      </c>
    </row>
    <row r="198" spans="1:3" x14ac:dyDescent="0.25">
      <c r="A198" s="3" t="s">
        <v>426</v>
      </c>
      <c r="B198" s="7">
        <f>VLOOKUP(UFLS!A198,DB!$A$3:$C$1246,2,0)</f>
        <v>32.174239999999998</v>
      </c>
      <c r="C198" s="7">
        <f>VLOOKUP(UFLS!A198,DB!$A$3:$C$1246,3,0)</f>
        <v>0</v>
      </c>
    </row>
    <row r="199" spans="1:3" x14ac:dyDescent="0.25">
      <c r="A199" s="3" t="s">
        <v>298</v>
      </c>
      <c r="B199" s="7">
        <f>VLOOKUP(UFLS!A199,DB!$A$3:$C$1246,2,0)</f>
        <v>32.767809999999997</v>
      </c>
      <c r="C199" s="7">
        <f>VLOOKUP(UFLS!A199,DB!$A$3:$C$1246,3,0)</f>
        <v>0</v>
      </c>
    </row>
    <row r="200" spans="1:3" x14ac:dyDescent="0.25">
      <c r="A200" s="3" t="s">
        <v>406</v>
      </c>
      <c r="B200" s="7">
        <f>VLOOKUP(UFLS!A200,DB!$A$3:$C$1246,2,0)</f>
        <v>33.480220000000003</v>
      </c>
      <c r="C200" s="7">
        <f>VLOOKUP(UFLS!A200,DB!$A$3:$C$1246,3,0)</f>
        <v>4.7706429999999997</v>
      </c>
    </row>
    <row r="201" spans="1:3" x14ac:dyDescent="0.25">
      <c r="A201" s="3" t="s">
        <v>387</v>
      </c>
      <c r="B201" s="7">
        <f>VLOOKUP(UFLS!A201,DB!$A$3:$C$1246,2,0)</f>
        <v>33.561059999999998</v>
      </c>
      <c r="C201" s="7">
        <f>VLOOKUP(UFLS!A201,DB!$A$3:$C$1246,3,0)</f>
        <v>0</v>
      </c>
    </row>
    <row r="202" spans="1:3" x14ac:dyDescent="0.25">
      <c r="A202" s="3" t="s">
        <v>274</v>
      </c>
      <c r="B202" s="7">
        <f>VLOOKUP(UFLS!A202,DB!$A$3:$C$1246,2,0)</f>
        <v>34.311250000000001</v>
      </c>
      <c r="C202" s="7">
        <f>VLOOKUP(UFLS!A202,DB!$A$3:$C$1246,3,0)</f>
        <v>10.007479999999999</v>
      </c>
    </row>
    <row r="203" spans="1:3" x14ac:dyDescent="0.25">
      <c r="A203" s="3" t="s">
        <v>380</v>
      </c>
      <c r="B203" s="7">
        <f>VLOOKUP(UFLS!A203,DB!$A$3:$C$1246,2,0)</f>
        <v>34.548720000000003</v>
      </c>
      <c r="C203" s="7">
        <f>VLOOKUP(UFLS!A203,DB!$A$3:$C$1246,3,0)</f>
        <v>8.6587169999999993</v>
      </c>
    </row>
    <row r="204" spans="1:3" x14ac:dyDescent="0.25">
      <c r="A204" s="3" t="s">
        <v>294</v>
      </c>
      <c r="B204" s="7">
        <f>VLOOKUP(UFLS!A204,DB!$A$3:$C$1246,2,0)</f>
        <v>35.066249999999997</v>
      </c>
      <c r="C204" s="7">
        <f>VLOOKUP(UFLS!A204,DB!$A$3:$C$1246,3,0)</f>
        <v>0</v>
      </c>
    </row>
    <row r="205" spans="1:3" x14ac:dyDescent="0.25">
      <c r="A205" s="3" t="s">
        <v>271</v>
      </c>
      <c r="B205" s="7">
        <f>VLOOKUP(UFLS!A205,DB!$A$3:$C$1246,2,0)</f>
        <v>35.379750000000001</v>
      </c>
      <c r="C205" s="7">
        <f>VLOOKUP(UFLS!A205,DB!$A$3:$C$1246,3,0)</f>
        <v>0</v>
      </c>
    </row>
    <row r="206" spans="1:3" x14ac:dyDescent="0.25">
      <c r="A206" s="3" t="s">
        <v>435</v>
      </c>
      <c r="B206" s="7">
        <f>VLOOKUP(UFLS!A206,DB!$A$3:$C$1246,2,0)</f>
        <v>35.735950000000003</v>
      </c>
      <c r="C206" s="7">
        <f>VLOOKUP(UFLS!A206,DB!$A$3:$C$1246,3,0)</f>
        <v>8.9562869999999997</v>
      </c>
    </row>
    <row r="207" spans="1:3" x14ac:dyDescent="0.25">
      <c r="A207" s="3" t="s">
        <v>313</v>
      </c>
      <c r="B207" s="7">
        <f>VLOOKUP(UFLS!A207,DB!$A$3:$C$1246,2,0)</f>
        <v>35.854689999999998</v>
      </c>
      <c r="C207" s="7">
        <f>VLOOKUP(UFLS!A207,DB!$A$3:$C$1246,3,0)</f>
        <v>-5.1090039999999997</v>
      </c>
    </row>
    <row r="208" spans="1:3" x14ac:dyDescent="0.25">
      <c r="A208" s="3" t="s">
        <v>434</v>
      </c>
      <c r="B208" s="7">
        <f>VLOOKUP(UFLS!A208,DB!$A$3:$C$1246,2,0)</f>
        <v>36.566989999999997</v>
      </c>
      <c r="C208" s="7">
        <f>VLOOKUP(UFLS!A208,DB!$A$3:$C$1246,3,0)</f>
        <v>0</v>
      </c>
    </row>
    <row r="209" spans="1:3" x14ac:dyDescent="0.25">
      <c r="A209" s="3" t="s">
        <v>430</v>
      </c>
      <c r="B209" s="7">
        <f>VLOOKUP(UFLS!A209,DB!$A$3:$C$1246,2,0)</f>
        <v>37.500959999999999</v>
      </c>
      <c r="C209" s="7">
        <f>VLOOKUP(UFLS!A209,DB!$A$3:$C$1246,3,0)</f>
        <v>0</v>
      </c>
    </row>
    <row r="210" spans="1:3" x14ac:dyDescent="0.25">
      <c r="A210" s="3" t="s">
        <v>370</v>
      </c>
      <c r="B210" s="7">
        <f>VLOOKUP(UFLS!A210,DB!$A$3:$C$1246,2,0)</f>
        <v>37.635489999999997</v>
      </c>
      <c r="C210" s="7">
        <f>VLOOKUP(UFLS!A210,DB!$A$3:$C$1246,3,0)</f>
        <v>0</v>
      </c>
    </row>
    <row r="211" spans="1:3" x14ac:dyDescent="0.25">
      <c r="A211" s="3" t="s">
        <v>404</v>
      </c>
      <c r="B211" s="7">
        <f>VLOOKUP(UFLS!A211,DB!$A$3:$C$1246,2,0)</f>
        <v>37.991700000000002</v>
      </c>
      <c r="C211" s="7">
        <f>VLOOKUP(UFLS!A211,DB!$A$3:$C$1246,3,0)</f>
        <v>0</v>
      </c>
    </row>
    <row r="212" spans="1:3" x14ac:dyDescent="0.25">
      <c r="A212" s="3" t="s">
        <v>242</v>
      </c>
      <c r="B212" s="7">
        <f>VLOOKUP(UFLS!A212,DB!$A$3:$C$1246,2,0)</f>
        <v>38.347900000000003</v>
      </c>
      <c r="C212" s="7">
        <f>VLOOKUP(UFLS!A212,DB!$A$3:$C$1246,3,0)</f>
        <v>0</v>
      </c>
    </row>
    <row r="213" spans="1:3" x14ac:dyDescent="0.25">
      <c r="A213" s="3" t="s">
        <v>394</v>
      </c>
      <c r="B213" s="7">
        <f>VLOOKUP(UFLS!A213,DB!$A$3:$C$1246,2,0)</f>
        <v>38.347900000000003</v>
      </c>
      <c r="C213" s="7">
        <f>VLOOKUP(UFLS!A213,DB!$A$3:$C$1246,3,0)</f>
        <v>0</v>
      </c>
    </row>
    <row r="214" spans="1:3" x14ac:dyDescent="0.25">
      <c r="A214" s="3" t="s">
        <v>243</v>
      </c>
      <c r="B214" s="7">
        <f>VLOOKUP(UFLS!A214,DB!$A$3:$C$1246,2,0)</f>
        <v>39.060200000000002</v>
      </c>
      <c r="C214" s="7">
        <f>VLOOKUP(UFLS!A214,DB!$A$3:$C$1246,3,0)</f>
        <v>7.9315309999999997</v>
      </c>
    </row>
    <row r="215" spans="1:3" x14ac:dyDescent="0.25">
      <c r="A215" s="3" t="s">
        <v>297</v>
      </c>
      <c r="B215" s="7">
        <f>VLOOKUP(UFLS!A215,DB!$A$3:$C$1246,2,0)</f>
        <v>39.29766</v>
      </c>
      <c r="C215" s="7">
        <f>VLOOKUP(UFLS!A215,DB!$A$3:$C$1246,3,0)</f>
        <v>0</v>
      </c>
    </row>
    <row r="216" spans="1:3" x14ac:dyDescent="0.25">
      <c r="A216" s="3" t="s">
        <v>372</v>
      </c>
      <c r="B216" s="7">
        <f>VLOOKUP(UFLS!A216,DB!$A$3:$C$1246,2,0)</f>
        <v>39.653869999999998</v>
      </c>
      <c r="C216" s="7">
        <f>VLOOKUP(UFLS!A216,DB!$A$3:$C$1246,3,0)</f>
        <v>14.392429999999999</v>
      </c>
    </row>
    <row r="217" spans="1:3" x14ac:dyDescent="0.25">
      <c r="A217" s="3" t="s">
        <v>381</v>
      </c>
      <c r="B217" s="7">
        <f>VLOOKUP(UFLS!A217,DB!$A$3:$C$1246,2,0)</f>
        <v>39.772500000000001</v>
      </c>
      <c r="C217" s="7">
        <f>VLOOKUP(UFLS!A217,DB!$A$3:$C$1246,3,0)</f>
        <v>0</v>
      </c>
    </row>
    <row r="218" spans="1:3" x14ac:dyDescent="0.25">
      <c r="A218" s="3" t="s">
        <v>238</v>
      </c>
      <c r="B218" s="7">
        <f>VLOOKUP(UFLS!A218,DB!$A$3:$C$1246,2,0)</f>
        <v>40.128700000000002</v>
      </c>
      <c r="C218" s="7">
        <f>VLOOKUP(UFLS!A218,DB!$A$3:$C$1246,3,0)</f>
        <v>10.05721</v>
      </c>
    </row>
    <row r="219" spans="1:3" x14ac:dyDescent="0.25">
      <c r="A219" s="3" t="s">
        <v>239</v>
      </c>
      <c r="B219" s="7">
        <f>VLOOKUP(UFLS!A219,DB!$A$3:$C$1246,2,0)</f>
        <v>40.366169999999997</v>
      </c>
      <c r="C219" s="7">
        <f>VLOOKUP(UFLS!A219,DB!$A$3:$C$1246,3,0)</f>
        <v>5.7518570000000002</v>
      </c>
    </row>
    <row r="220" spans="1:3" x14ac:dyDescent="0.25">
      <c r="A220" s="3" t="s">
        <v>363</v>
      </c>
      <c r="B220" s="7">
        <f>VLOOKUP(UFLS!A220,DB!$A$3:$C$1246,2,0)</f>
        <v>40.603639999999999</v>
      </c>
      <c r="C220" s="7">
        <f>VLOOKUP(UFLS!A220,DB!$A$3:$C$1246,3,0)</f>
        <v>0</v>
      </c>
    </row>
    <row r="221" spans="1:3" x14ac:dyDescent="0.25">
      <c r="A221" s="3" t="s">
        <v>368</v>
      </c>
      <c r="B221" s="7">
        <f>VLOOKUP(UFLS!A221,DB!$A$3:$C$1246,2,0)</f>
        <v>41.434669999999997</v>
      </c>
      <c r="C221" s="7">
        <f>VLOOKUP(UFLS!A221,DB!$A$3:$C$1246,3,0)</f>
        <v>15.038790000000001</v>
      </c>
    </row>
    <row r="222" spans="1:3" x14ac:dyDescent="0.25">
      <c r="A222" s="3" t="s">
        <v>386</v>
      </c>
      <c r="B222" s="7">
        <f>VLOOKUP(UFLS!A222,DB!$A$3:$C$1246,2,0)</f>
        <v>42.071840000000002</v>
      </c>
      <c r="C222" s="7">
        <f>VLOOKUP(UFLS!A222,DB!$A$3:$C$1246,3,0)</f>
        <v>8.5430109999999999</v>
      </c>
    </row>
    <row r="223" spans="1:3" x14ac:dyDescent="0.25">
      <c r="A223" s="3" t="s">
        <v>447</v>
      </c>
      <c r="B223" s="7">
        <f>VLOOKUP(UFLS!A223,DB!$A$3:$C$1246,2,0)</f>
        <v>42.859380000000002</v>
      </c>
      <c r="C223" s="7">
        <f>VLOOKUP(UFLS!A223,DB!$A$3:$C$1246,3,0)</f>
        <v>9.7217070000000003</v>
      </c>
    </row>
    <row r="224" spans="1:3" x14ac:dyDescent="0.25">
      <c r="A224" s="3" t="s">
        <v>241</v>
      </c>
      <c r="B224" s="7">
        <f>VLOOKUP(UFLS!A224,DB!$A$3:$C$1246,2,0)</f>
        <v>43.677239999999998</v>
      </c>
      <c r="C224" s="7">
        <f>VLOOKUP(UFLS!A224,DB!$A$3:$C$1246,3,0)</f>
        <v>11.32132</v>
      </c>
    </row>
    <row r="225" spans="1:3" x14ac:dyDescent="0.25">
      <c r="A225" s="3" t="s">
        <v>234</v>
      </c>
      <c r="B225" s="7">
        <f>VLOOKUP(UFLS!A225,DB!$A$3:$C$1246,2,0)</f>
        <v>45.233849999999997</v>
      </c>
      <c r="C225" s="7">
        <f>VLOOKUP(UFLS!A225,DB!$A$3:$C$1246,3,0)</f>
        <v>0</v>
      </c>
    </row>
    <row r="226" spans="1:3" x14ac:dyDescent="0.25">
      <c r="A226" s="3" t="s">
        <v>400</v>
      </c>
      <c r="B226" s="7">
        <f>VLOOKUP(UFLS!A226,DB!$A$3:$C$1246,2,0)</f>
        <v>45.233849999999997</v>
      </c>
      <c r="C226" s="7">
        <f>VLOOKUP(UFLS!A226,DB!$A$3:$C$1246,3,0)</f>
        <v>11.336690000000001</v>
      </c>
    </row>
    <row r="227" spans="1:3" x14ac:dyDescent="0.25">
      <c r="A227" s="3" t="s">
        <v>452</v>
      </c>
      <c r="B227" s="7">
        <f>VLOOKUP(UFLS!A227,DB!$A$3:$C$1246,2,0)</f>
        <v>53.544510000000002</v>
      </c>
      <c r="C227" s="7">
        <f>VLOOKUP(UFLS!A227,DB!$A$3:$C$1246,3,0)</f>
        <v>9.4345499999999998</v>
      </c>
    </row>
    <row r="228" spans="1:3" x14ac:dyDescent="0.25">
      <c r="A228" s="3" t="s">
        <v>405</v>
      </c>
      <c r="B228" s="7">
        <f>VLOOKUP(UFLS!A228,DB!$A$3:$C$1246,2,0)</f>
        <v>61.499079999999999</v>
      </c>
      <c r="C228" s="7">
        <f>VLOOKUP(UFLS!A228,DB!$A$3:$C$1246,3,0)</f>
        <v>9.5919050000000006</v>
      </c>
    </row>
    <row r="229" spans="1:3" x14ac:dyDescent="0.25">
      <c r="A229" s="10" t="s">
        <v>310</v>
      </c>
      <c r="B229" s="7">
        <f>VLOOKUP(UFLS!A229,DB!$A$3:$C$1246,2,0)</f>
        <v>75.429659999999998</v>
      </c>
      <c r="C229" s="7">
        <f>VLOOKUP(UFLS!A229,DB!$A$3:$C$1246,3,0)</f>
        <v>0</v>
      </c>
    </row>
    <row r="230" spans="1:3" x14ac:dyDescent="0.25">
      <c r="A230" s="3" t="s">
        <v>463</v>
      </c>
      <c r="B230" s="7">
        <f>VLOOKUP(UFLS!A230,DB!$A$3:$C$1246,2,0)</f>
        <v>66.248019999999997</v>
      </c>
      <c r="C230" s="7">
        <f>VLOOKUP(UFLS!A230,DB!$A$3:$C$1246,3,0)</f>
        <v>13.452260000000001</v>
      </c>
    </row>
    <row r="231" spans="1:3" x14ac:dyDescent="0.25">
      <c r="A231" s="3" t="s">
        <v>280</v>
      </c>
      <c r="B231" s="7">
        <f>VLOOKUP(UFLS!A231,DB!$A$3:$C$1246,2,0)</f>
        <v>67.764439999999993</v>
      </c>
      <c r="C231" s="7">
        <f>VLOOKUP(UFLS!A231,DB!$A$3:$C$1246,3,0)</f>
        <v>9.6559469999999994</v>
      </c>
    </row>
    <row r="232" spans="1:3" x14ac:dyDescent="0.25">
      <c r="A232" s="3" t="s">
        <v>328</v>
      </c>
      <c r="B232" s="7">
        <f>VLOOKUP(UFLS!A232,DB!$A$3:$C$1246,2,0)</f>
        <v>92.964169999999996</v>
      </c>
      <c r="C232" s="7">
        <f>VLOOKUP(UFLS!A232,DB!$A$3:$C$1246,3,0)</f>
        <v>22.67437</v>
      </c>
    </row>
  </sheetData>
  <conditionalFormatting sqref="A1">
    <cfRule type="duplicateValues" dxfId="16" priority="2"/>
  </conditionalFormatting>
  <conditionalFormatting sqref="A2:A232">
    <cfRule type="duplicateValues" dxfId="15" priority="7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8831-2EF6-46A4-9153-727B896461BD}">
  <dimension ref="A1:C1234"/>
  <sheetViews>
    <sheetView workbookViewId="0">
      <selection activeCell="B33" sqref="B33"/>
    </sheetView>
  </sheetViews>
  <sheetFormatPr defaultColWidth="11.42578125" defaultRowHeight="15" x14ac:dyDescent="0.25"/>
  <cols>
    <col min="1" max="1" width="40.42578125" bestFit="1" customWidth="1"/>
    <col min="2" max="2" width="27.85546875" bestFit="1" customWidth="1"/>
    <col min="3" max="3" width="11" bestFit="1" customWidth="1"/>
  </cols>
  <sheetData>
    <row r="1" spans="1:3" x14ac:dyDescent="0.25">
      <c r="A1" t="s">
        <v>464</v>
      </c>
      <c r="B1" t="s">
        <v>465</v>
      </c>
      <c r="C1" t="s">
        <v>466</v>
      </c>
    </row>
    <row r="2" spans="1:3" x14ac:dyDescent="0.25">
      <c r="B2" t="s">
        <v>467</v>
      </c>
      <c r="C2" t="s">
        <v>468</v>
      </c>
    </row>
    <row r="3" spans="1:3" x14ac:dyDescent="0.25">
      <c r="A3" t="s">
        <v>469</v>
      </c>
      <c r="B3">
        <v>1.886673</v>
      </c>
      <c r="C3" s="13">
        <v>0</v>
      </c>
    </row>
    <row r="4" spans="1:3" x14ac:dyDescent="0.25">
      <c r="A4" t="s">
        <v>470</v>
      </c>
      <c r="B4">
        <v>2.4415770000000001</v>
      </c>
      <c r="C4" s="13">
        <v>0</v>
      </c>
    </row>
    <row r="5" spans="1:3" x14ac:dyDescent="0.25">
      <c r="A5" t="s">
        <v>471</v>
      </c>
      <c r="B5">
        <v>6.3259040000000004</v>
      </c>
      <c r="C5" s="13">
        <v>1.2845279999999999</v>
      </c>
    </row>
    <row r="6" spans="1:3" x14ac:dyDescent="0.25">
      <c r="A6" t="s">
        <v>472</v>
      </c>
      <c r="B6">
        <v>5.2160970000000004</v>
      </c>
      <c r="C6" s="13">
        <v>1.521361</v>
      </c>
    </row>
    <row r="7" spans="1:3" x14ac:dyDescent="0.25">
      <c r="A7" t="s">
        <v>473</v>
      </c>
      <c r="B7">
        <v>13.09573</v>
      </c>
      <c r="C7" s="13">
        <v>-2.6592009999999999</v>
      </c>
    </row>
    <row r="8" spans="1:3" x14ac:dyDescent="0.25">
      <c r="A8" t="s">
        <v>474</v>
      </c>
      <c r="B8">
        <v>0.6658847</v>
      </c>
      <c r="C8" s="13">
        <v>-5.078722</v>
      </c>
    </row>
    <row r="9" spans="1:3" x14ac:dyDescent="0.25">
      <c r="A9" t="s">
        <v>475</v>
      </c>
      <c r="B9">
        <v>1.331769</v>
      </c>
      <c r="C9" s="13">
        <v>0.33377210000000002</v>
      </c>
    </row>
    <row r="10" spans="1:3" x14ac:dyDescent="0.25">
      <c r="A10" t="s">
        <v>476</v>
      </c>
      <c r="B10">
        <v>6.9917889999999998</v>
      </c>
      <c r="C10" s="13">
        <v>-2.5376810000000001</v>
      </c>
    </row>
    <row r="11" spans="1:3" x14ac:dyDescent="0.25">
      <c r="A11" t="s">
        <v>477</v>
      </c>
      <c r="B11">
        <v>0.1109808</v>
      </c>
      <c r="C11" s="13">
        <v>0.1100744</v>
      </c>
    </row>
    <row r="12" spans="1:3" x14ac:dyDescent="0.25">
      <c r="A12" t="s">
        <v>478</v>
      </c>
      <c r="B12">
        <v>4.4392310000000004</v>
      </c>
      <c r="C12" s="13">
        <v>-5.0530929999999996</v>
      </c>
    </row>
    <row r="13" spans="1:3" x14ac:dyDescent="0.25">
      <c r="A13" t="s">
        <v>1430</v>
      </c>
      <c r="B13">
        <v>6.2149239999999999</v>
      </c>
      <c r="C13" s="13">
        <v>0</v>
      </c>
    </row>
    <row r="14" spans="1:3" x14ac:dyDescent="0.25">
      <c r="A14" t="s">
        <v>1431</v>
      </c>
      <c r="B14">
        <v>6.2149239999999999</v>
      </c>
      <c r="C14" s="13">
        <v>0</v>
      </c>
    </row>
    <row r="15" spans="1:3" x14ac:dyDescent="0.25">
      <c r="A15" t="s">
        <v>1432</v>
      </c>
      <c r="B15">
        <v>18.644770000000001</v>
      </c>
      <c r="C15" s="13">
        <v>5.4380579999999998</v>
      </c>
    </row>
    <row r="16" spans="1:3" x14ac:dyDescent="0.25">
      <c r="A16" t="s">
        <v>1433</v>
      </c>
      <c r="B16">
        <v>18.644770000000001</v>
      </c>
      <c r="C16" s="13">
        <v>5.4380579999999998</v>
      </c>
    </row>
    <row r="17" spans="1:3" x14ac:dyDescent="0.25">
      <c r="A17" t="s">
        <v>479</v>
      </c>
      <c r="B17">
        <v>1.886673</v>
      </c>
      <c r="C17" s="13">
        <v>0.68477140000000003</v>
      </c>
    </row>
    <row r="18" spans="1:3" x14ac:dyDescent="0.25">
      <c r="A18" t="s">
        <v>480</v>
      </c>
      <c r="B18">
        <v>0.1109808</v>
      </c>
      <c r="C18" s="13">
        <v>0</v>
      </c>
    </row>
    <row r="19" spans="1:3" x14ac:dyDescent="0.25">
      <c r="A19" t="s">
        <v>481</v>
      </c>
      <c r="B19">
        <v>0</v>
      </c>
      <c r="C19" s="13">
        <v>0</v>
      </c>
    </row>
    <row r="20" spans="1:3" x14ac:dyDescent="0.25">
      <c r="A20" t="s">
        <v>482</v>
      </c>
      <c r="B20">
        <v>6.1372369999999998</v>
      </c>
      <c r="C20" s="13">
        <v>0.87450720000000004</v>
      </c>
    </row>
    <row r="21" spans="1:3" x14ac:dyDescent="0.25">
      <c r="A21" t="s">
        <v>483</v>
      </c>
      <c r="B21">
        <v>5.1051159999999998</v>
      </c>
      <c r="C21" s="13">
        <v>0</v>
      </c>
    </row>
    <row r="22" spans="1:3" x14ac:dyDescent="0.25">
      <c r="A22" t="s">
        <v>484</v>
      </c>
      <c r="B22">
        <v>8.4345400000000001</v>
      </c>
      <c r="C22" s="13">
        <v>1.7127049999999999</v>
      </c>
    </row>
    <row r="23" spans="1:3" x14ac:dyDescent="0.25">
      <c r="A23" t="s">
        <v>485</v>
      </c>
      <c r="B23">
        <v>12.42985</v>
      </c>
      <c r="C23" s="13">
        <v>2.5239850000000001</v>
      </c>
    </row>
    <row r="24" spans="1:3" x14ac:dyDescent="0.25">
      <c r="A24" t="s">
        <v>486</v>
      </c>
      <c r="B24">
        <v>7.4357119999999997</v>
      </c>
      <c r="C24" s="13">
        <v>1.8635649999999999</v>
      </c>
    </row>
    <row r="25" spans="1:3" x14ac:dyDescent="0.25">
      <c r="A25" t="s">
        <v>487</v>
      </c>
      <c r="B25">
        <v>0</v>
      </c>
      <c r="C25" s="13">
        <v>0</v>
      </c>
    </row>
    <row r="26" spans="1:3" x14ac:dyDescent="0.25">
      <c r="A26" t="s">
        <v>488</v>
      </c>
      <c r="B26">
        <v>0.55490390000000001</v>
      </c>
      <c r="C26" s="13">
        <v>0.1126781</v>
      </c>
    </row>
    <row r="27" spans="1:3" x14ac:dyDescent="0.25">
      <c r="A27" t="s">
        <v>489</v>
      </c>
      <c r="B27">
        <v>0.55490390000000001</v>
      </c>
      <c r="C27" s="13">
        <v>-0.66620979999999996</v>
      </c>
    </row>
    <row r="28" spans="1:3" x14ac:dyDescent="0.25">
      <c r="A28" t="s">
        <v>490</v>
      </c>
      <c r="B28">
        <v>2.3305959999999999</v>
      </c>
      <c r="C28" s="13">
        <v>-1.687322</v>
      </c>
    </row>
    <row r="29" spans="1:3" x14ac:dyDescent="0.25">
      <c r="A29" t="s">
        <v>491</v>
      </c>
      <c r="B29">
        <v>8.4345400000000001</v>
      </c>
      <c r="C29" s="13">
        <v>3.0613269999999999</v>
      </c>
    </row>
    <row r="30" spans="1:3" x14ac:dyDescent="0.25">
      <c r="A30" t="s">
        <v>492</v>
      </c>
      <c r="B30">
        <v>19.08869</v>
      </c>
      <c r="C30" s="13">
        <v>2.7199789999999999</v>
      </c>
    </row>
    <row r="31" spans="1:3" x14ac:dyDescent="0.25">
      <c r="A31" t="s">
        <v>493</v>
      </c>
      <c r="B31">
        <v>18.755749999999999</v>
      </c>
      <c r="C31" s="13">
        <v>2.6725539999999999</v>
      </c>
    </row>
    <row r="32" spans="1:3" x14ac:dyDescent="0.25">
      <c r="A32" t="s">
        <v>494</v>
      </c>
      <c r="B32">
        <v>8.5455199999999998</v>
      </c>
      <c r="C32" s="13">
        <v>3.1016089999999998</v>
      </c>
    </row>
    <row r="33" spans="1:3" x14ac:dyDescent="0.25">
      <c r="A33" t="s">
        <v>495</v>
      </c>
      <c r="B33">
        <v>2.9964810000000002</v>
      </c>
      <c r="C33" s="13">
        <v>0</v>
      </c>
    </row>
    <row r="34" spans="1:3" x14ac:dyDescent="0.25">
      <c r="A34" t="s">
        <v>496</v>
      </c>
      <c r="B34">
        <v>3.662366</v>
      </c>
      <c r="C34" s="13">
        <v>1.06819</v>
      </c>
    </row>
    <row r="35" spans="1:3" x14ac:dyDescent="0.25">
      <c r="A35" t="s">
        <v>497</v>
      </c>
      <c r="B35">
        <v>6.9917889999999998</v>
      </c>
      <c r="C35" s="13">
        <v>0</v>
      </c>
    </row>
    <row r="36" spans="1:3" x14ac:dyDescent="0.25">
      <c r="A36" t="s">
        <v>498</v>
      </c>
      <c r="B36">
        <v>1.1098079999999999</v>
      </c>
      <c r="C36" s="13">
        <v>2.330155</v>
      </c>
    </row>
    <row r="37" spans="1:3" x14ac:dyDescent="0.25">
      <c r="A37" t="s">
        <v>499</v>
      </c>
      <c r="B37">
        <v>2.9964810000000002</v>
      </c>
      <c r="C37" s="13">
        <v>2.5624769999999999</v>
      </c>
    </row>
    <row r="38" spans="1:3" x14ac:dyDescent="0.25">
      <c r="A38" t="s">
        <v>500</v>
      </c>
      <c r="B38">
        <v>2.3305959999999999</v>
      </c>
      <c r="C38" s="13">
        <v>1.687322</v>
      </c>
    </row>
    <row r="39" spans="1:3" x14ac:dyDescent="0.25">
      <c r="A39" t="s">
        <v>501</v>
      </c>
      <c r="B39">
        <v>12.207890000000001</v>
      </c>
      <c r="C39" s="13">
        <v>0</v>
      </c>
    </row>
    <row r="40" spans="1:3" x14ac:dyDescent="0.25">
      <c r="A40" t="s">
        <v>502</v>
      </c>
      <c r="B40">
        <v>14.871420000000001</v>
      </c>
      <c r="C40" s="13">
        <v>2.119068</v>
      </c>
    </row>
    <row r="41" spans="1:3" x14ac:dyDescent="0.25">
      <c r="A41" t="s">
        <v>503</v>
      </c>
      <c r="B41">
        <v>22.085170000000002</v>
      </c>
      <c r="C41" s="13">
        <v>14.26562</v>
      </c>
    </row>
    <row r="42" spans="1:3" x14ac:dyDescent="0.25">
      <c r="A42" t="s">
        <v>504</v>
      </c>
      <c r="B42">
        <v>22.751059999999999</v>
      </c>
      <c r="C42" s="13">
        <v>15.88034</v>
      </c>
    </row>
    <row r="43" spans="1:3" x14ac:dyDescent="0.25">
      <c r="A43" t="s">
        <v>505</v>
      </c>
      <c r="B43">
        <v>22.085170000000002</v>
      </c>
      <c r="C43" s="13">
        <v>-10.696339999999999</v>
      </c>
    </row>
    <row r="44" spans="1:3" x14ac:dyDescent="0.25">
      <c r="A44" t="s">
        <v>506</v>
      </c>
      <c r="B44">
        <v>11.542</v>
      </c>
      <c r="C44" s="13">
        <v>0</v>
      </c>
    </row>
    <row r="45" spans="1:3" x14ac:dyDescent="0.25">
      <c r="A45" t="s">
        <v>507</v>
      </c>
      <c r="B45">
        <v>2.3305959999999999</v>
      </c>
      <c r="C45" s="13">
        <v>0</v>
      </c>
    </row>
    <row r="46" spans="1:3" x14ac:dyDescent="0.25">
      <c r="A46" t="s">
        <v>508</v>
      </c>
      <c r="B46">
        <v>1.44275</v>
      </c>
      <c r="C46" s="13">
        <v>8.9010189999999998</v>
      </c>
    </row>
    <row r="47" spans="1:3" x14ac:dyDescent="0.25">
      <c r="A47" t="s">
        <v>509</v>
      </c>
      <c r="B47">
        <v>0</v>
      </c>
      <c r="C47" s="13">
        <v>0</v>
      </c>
    </row>
    <row r="48" spans="1:3" x14ac:dyDescent="0.25">
      <c r="A48" t="s">
        <v>510</v>
      </c>
      <c r="B48">
        <v>0</v>
      </c>
      <c r="C48" s="13">
        <v>0</v>
      </c>
    </row>
    <row r="49" spans="1:3" x14ac:dyDescent="0.25">
      <c r="A49" t="s">
        <v>511</v>
      </c>
      <c r="B49">
        <v>0.99882700000000002</v>
      </c>
      <c r="C49" s="13">
        <v>8.2634120000000006</v>
      </c>
    </row>
    <row r="50" spans="1:3" x14ac:dyDescent="0.25">
      <c r="A50" t="s">
        <v>512</v>
      </c>
      <c r="B50">
        <v>7.4357119999999997</v>
      </c>
      <c r="C50" s="13">
        <v>-6.758527</v>
      </c>
    </row>
    <row r="51" spans="1:3" x14ac:dyDescent="0.25">
      <c r="A51" t="s">
        <v>513</v>
      </c>
      <c r="B51">
        <v>3.8843269999999999</v>
      </c>
      <c r="C51" s="13">
        <v>4.7881749999999998</v>
      </c>
    </row>
    <row r="52" spans="1:3" x14ac:dyDescent="0.25">
      <c r="A52" t="s">
        <v>514</v>
      </c>
      <c r="B52">
        <v>0</v>
      </c>
      <c r="C52" s="13">
        <v>0</v>
      </c>
    </row>
    <row r="53" spans="1:3" x14ac:dyDescent="0.25">
      <c r="A53" t="s">
        <v>515</v>
      </c>
      <c r="B53">
        <v>0.1109808</v>
      </c>
      <c r="C53" s="13">
        <v>11.097519999999999</v>
      </c>
    </row>
    <row r="54" spans="1:3" x14ac:dyDescent="0.25">
      <c r="A54" t="s">
        <v>516</v>
      </c>
      <c r="B54">
        <v>0.1109808</v>
      </c>
      <c r="C54" s="13">
        <v>11.097519999999999</v>
      </c>
    </row>
    <row r="55" spans="1:3" x14ac:dyDescent="0.25">
      <c r="A55" t="s">
        <v>517</v>
      </c>
      <c r="B55">
        <v>0</v>
      </c>
      <c r="C55" s="13">
        <v>0</v>
      </c>
    </row>
    <row r="56" spans="1:3" x14ac:dyDescent="0.25">
      <c r="A56" t="s">
        <v>518</v>
      </c>
      <c r="B56">
        <v>13.317690000000001</v>
      </c>
      <c r="C56" s="13">
        <v>16.853359999999999</v>
      </c>
    </row>
    <row r="57" spans="1:3" x14ac:dyDescent="0.25">
      <c r="A57" t="s">
        <v>519</v>
      </c>
      <c r="B57">
        <v>1.553731</v>
      </c>
      <c r="C57" s="13">
        <v>2.3593109999999999</v>
      </c>
    </row>
    <row r="58" spans="1:3" x14ac:dyDescent="0.25">
      <c r="A58" t="s">
        <v>520</v>
      </c>
      <c r="B58">
        <v>8.1015969999999999</v>
      </c>
      <c r="C58" s="13">
        <v>1.1544110000000001</v>
      </c>
    </row>
    <row r="59" spans="1:3" x14ac:dyDescent="0.25">
      <c r="A59" t="s">
        <v>521</v>
      </c>
      <c r="B59">
        <v>2.108635</v>
      </c>
      <c r="C59" s="13">
        <v>-0.69307459999999999</v>
      </c>
    </row>
    <row r="60" spans="1:3" x14ac:dyDescent="0.25">
      <c r="A60" t="s">
        <v>522</v>
      </c>
      <c r="B60">
        <v>45.502119999999998</v>
      </c>
      <c r="C60" s="13">
        <v>0</v>
      </c>
    </row>
    <row r="61" spans="1:3" x14ac:dyDescent="0.25">
      <c r="A61" t="s">
        <v>523</v>
      </c>
      <c r="B61">
        <v>45.169179999999997</v>
      </c>
      <c r="C61" s="13">
        <v>0</v>
      </c>
    </row>
    <row r="62" spans="1:3" x14ac:dyDescent="0.25">
      <c r="A62" t="s">
        <v>524</v>
      </c>
      <c r="B62">
        <v>45.280160000000002</v>
      </c>
      <c r="C62" s="13">
        <v>0</v>
      </c>
    </row>
    <row r="63" spans="1:3" x14ac:dyDescent="0.25">
      <c r="A63" t="s">
        <v>525</v>
      </c>
      <c r="B63">
        <v>23.194980000000001</v>
      </c>
      <c r="C63" s="13">
        <v>4.7099460000000004</v>
      </c>
    </row>
    <row r="64" spans="1:3" x14ac:dyDescent="0.25">
      <c r="A64" t="s">
        <v>526</v>
      </c>
      <c r="B64">
        <v>19.865559999999999</v>
      </c>
      <c r="C64" s="13">
        <v>4.033868</v>
      </c>
    </row>
    <row r="65" spans="1:3" x14ac:dyDescent="0.25">
      <c r="A65" t="s">
        <v>527</v>
      </c>
      <c r="B65">
        <v>9.2354880000000001</v>
      </c>
      <c r="C65" s="13">
        <v>1.875346</v>
      </c>
    </row>
    <row r="66" spans="1:3" x14ac:dyDescent="0.25">
      <c r="A66" t="s">
        <v>528</v>
      </c>
      <c r="B66">
        <v>9.2354880000000001</v>
      </c>
      <c r="C66" s="13">
        <v>1.875346</v>
      </c>
    </row>
    <row r="67" spans="1:3" x14ac:dyDescent="0.25">
      <c r="A67" t="s">
        <v>529</v>
      </c>
      <c r="B67">
        <v>9.2354880000000001</v>
      </c>
      <c r="C67" s="13">
        <v>1.875346</v>
      </c>
    </row>
    <row r="68" spans="1:3" x14ac:dyDescent="0.25">
      <c r="A68" t="s">
        <v>530</v>
      </c>
      <c r="B68">
        <v>9.2354880000000001</v>
      </c>
      <c r="C68" s="13">
        <v>1.875346</v>
      </c>
    </row>
    <row r="69" spans="1:3" x14ac:dyDescent="0.25">
      <c r="A69" t="s">
        <v>531</v>
      </c>
      <c r="B69">
        <v>0.22196160000000001</v>
      </c>
      <c r="C69" s="13">
        <v>-7.3953889999999998</v>
      </c>
    </row>
    <row r="70" spans="1:3" x14ac:dyDescent="0.25">
      <c r="A70" t="s">
        <v>532</v>
      </c>
      <c r="B70">
        <v>16.709379999999999</v>
      </c>
      <c r="C70" s="13">
        <v>0</v>
      </c>
    </row>
    <row r="71" spans="1:3" x14ac:dyDescent="0.25">
      <c r="A71" t="s">
        <v>533</v>
      </c>
      <c r="B71">
        <v>17.753710000000002</v>
      </c>
      <c r="C71" s="13">
        <v>0</v>
      </c>
    </row>
    <row r="72" spans="1:3" x14ac:dyDescent="0.25">
      <c r="A72" t="s">
        <v>534</v>
      </c>
      <c r="B72">
        <v>21.27835</v>
      </c>
      <c r="C72" s="13">
        <v>0</v>
      </c>
    </row>
    <row r="73" spans="1:3" x14ac:dyDescent="0.25">
      <c r="A73" t="s">
        <v>535</v>
      </c>
      <c r="B73">
        <v>19.711849999999998</v>
      </c>
      <c r="C73" s="13">
        <v>0</v>
      </c>
    </row>
    <row r="74" spans="1:3" x14ac:dyDescent="0.25">
      <c r="A74" t="s">
        <v>536</v>
      </c>
      <c r="B74">
        <v>13.98358</v>
      </c>
      <c r="C74" s="13">
        <v>1.992551</v>
      </c>
    </row>
    <row r="75" spans="1:3" x14ac:dyDescent="0.25">
      <c r="A75" t="s">
        <v>537</v>
      </c>
      <c r="B75">
        <v>13.317690000000001</v>
      </c>
      <c r="C75" s="13">
        <v>2.7042730000000001</v>
      </c>
    </row>
    <row r="76" spans="1:3" x14ac:dyDescent="0.25">
      <c r="A76" t="s">
        <v>538</v>
      </c>
      <c r="B76">
        <v>17.863579999999999</v>
      </c>
      <c r="C76" s="13">
        <v>0</v>
      </c>
    </row>
    <row r="77" spans="1:3" x14ac:dyDescent="0.25">
      <c r="A77" t="s">
        <v>539</v>
      </c>
      <c r="B77">
        <v>0.1305134</v>
      </c>
      <c r="C77" s="13">
        <v>1.6261890000000001</v>
      </c>
    </row>
    <row r="78" spans="1:3" x14ac:dyDescent="0.25">
      <c r="A78" t="s">
        <v>540</v>
      </c>
      <c r="B78">
        <v>0.52216459999999998</v>
      </c>
      <c r="C78" s="13">
        <v>-1.232864</v>
      </c>
    </row>
    <row r="79" spans="1:3" x14ac:dyDescent="0.25">
      <c r="A79" t="s">
        <v>541</v>
      </c>
      <c r="B79">
        <v>0</v>
      </c>
      <c r="C79" s="13">
        <v>0</v>
      </c>
    </row>
    <row r="80" spans="1:3" x14ac:dyDescent="0.25">
      <c r="A80" t="s">
        <v>542</v>
      </c>
      <c r="B80">
        <v>13.42867</v>
      </c>
      <c r="C80" s="13">
        <v>0</v>
      </c>
    </row>
    <row r="81" spans="1:3" x14ac:dyDescent="0.25">
      <c r="A81" t="s">
        <v>543</v>
      </c>
      <c r="B81">
        <v>23.860869999999998</v>
      </c>
      <c r="C81" s="13">
        <v>3.3999730000000001</v>
      </c>
    </row>
    <row r="82" spans="1:3" x14ac:dyDescent="0.25">
      <c r="A82" t="s">
        <v>544</v>
      </c>
      <c r="B82">
        <v>46.278979999999997</v>
      </c>
      <c r="C82" s="13">
        <v>0</v>
      </c>
    </row>
    <row r="83" spans="1:3" x14ac:dyDescent="0.25">
      <c r="A83" t="s">
        <v>545</v>
      </c>
      <c r="B83">
        <v>20.9</v>
      </c>
      <c r="C83" s="13">
        <v>0</v>
      </c>
    </row>
    <row r="84" spans="1:3" x14ac:dyDescent="0.25">
      <c r="A84" t="s">
        <v>546</v>
      </c>
      <c r="B84">
        <v>7.6576740000000001</v>
      </c>
      <c r="C84" s="13">
        <v>-2.7793649999999999</v>
      </c>
    </row>
    <row r="85" spans="1:3" x14ac:dyDescent="0.25">
      <c r="A85" t="s">
        <v>547</v>
      </c>
      <c r="B85">
        <v>10.54317</v>
      </c>
      <c r="C85" s="13">
        <v>2.1408830000000001</v>
      </c>
    </row>
    <row r="86" spans="1:3" x14ac:dyDescent="0.25">
      <c r="A86" t="s">
        <v>548</v>
      </c>
      <c r="B86">
        <v>9.6553280000000008</v>
      </c>
      <c r="C86" s="13">
        <v>1.960601</v>
      </c>
    </row>
    <row r="87" spans="1:3" x14ac:dyDescent="0.25">
      <c r="A87" t="s">
        <v>549</v>
      </c>
      <c r="B87">
        <v>2.2196159999999998</v>
      </c>
      <c r="C87" s="13">
        <v>0</v>
      </c>
    </row>
    <row r="88" spans="1:3" x14ac:dyDescent="0.25">
      <c r="A88" t="s">
        <v>550</v>
      </c>
      <c r="B88">
        <v>3.3072270000000001</v>
      </c>
      <c r="C88" s="13">
        <v>-3.2802190000000002</v>
      </c>
    </row>
    <row r="89" spans="1:3" x14ac:dyDescent="0.25">
      <c r="A89" t="s">
        <v>551</v>
      </c>
      <c r="B89">
        <v>24.537849999999999</v>
      </c>
      <c r="C89" s="13">
        <v>12.571109999999999</v>
      </c>
    </row>
    <row r="90" spans="1:3" x14ac:dyDescent="0.25">
      <c r="A90" t="s">
        <v>552</v>
      </c>
      <c r="B90">
        <v>0.97663089999999997</v>
      </c>
      <c r="C90" s="13">
        <v>1.3365</v>
      </c>
    </row>
    <row r="91" spans="1:3" x14ac:dyDescent="0.25">
      <c r="A91" t="s">
        <v>553</v>
      </c>
      <c r="B91">
        <v>24.8597</v>
      </c>
      <c r="C91" s="13">
        <v>3.5423119999999999</v>
      </c>
    </row>
    <row r="92" spans="1:3" x14ac:dyDescent="0.25">
      <c r="A92" t="s">
        <v>554</v>
      </c>
      <c r="B92">
        <v>19.754580000000001</v>
      </c>
      <c r="C92" s="13">
        <v>4.9509559999999997</v>
      </c>
    </row>
    <row r="93" spans="1:3" x14ac:dyDescent="0.25">
      <c r="A93" t="s">
        <v>555</v>
      </c>
      <c r="B93">
        <v>3.662366</v>
      </c>
      <c r="C93" s="13">
        <v>6.6934959999999997</v>
      </c>
    </row>
    <row r="94" spans="1:3" x14ac:dyDescent="0.25">
      <c r="A94" t="s">
        <v>556</v>
      </c>
      <c r="B94">
        <v>17.202020000000001</v>
      </c>
      <c r="C94" s="13">
        <v>-16.580220000000001</v>
      </c>
    </row>
    <row r="95" spans="1:3" x14ac:dyDescent="0.25">
      <c r="A95" t="s">
        <v>557</v>
      </c>
      <c r="B95">
        <v>0</v>
      </c>
      <c r="C95" s="13">
        <v>0</v>
      </c>
    </row>
    <row r="96" spans="1:3" x14ac:dyDescent="0.25">
      <c r="A96" t="s">
        <v>558</v>
      </c>
      <c r="B96">
        <v>3.2184430000000002</v>
      </c>
      <c r="C96" s="13">
        <v>0.93871280000000001</v>
      </c>
    </row>
    <row r="97" spans="1:3" x14ac:dyDescent="0.25">
      <c r="A97" t="s">
        <v>559</v>
      </c>
      <c r="B97">
        <v>2.4415770000000001</v>
      </c>
      <c r="C97" s="13">
        <v>1.8948700000000001</v>
      </c>
    </row>
    <row r="98" spans="1:3" x14ac:dyDescent="0.25">
      <c r="A98" t="s">
        <v>560</v>
      </c>
      <c r="B98">
        <v>0</v>
      </c>
      <c r="C98" s="13">
        <v>0</v>
      </c>
    </row>
    <row r="99" spans="1:3" x14ac:dyDescent="0.25">
      <c r="A99" t="s">
        <v>561</v>
      </c>
      <c r="B99">
        <v>9.8772900000000003</v>
      </c>
      <c r="C99" s="13">
        <v>4.7837880000000004</v>
      </c>
    </row>
    <row r="100" spans="1:3" x14ac:dyDescent="0.25">
      <c r="A100" t="s">
        <v>562</v>
      </c>
      <c r="B100">
        <v>9.98827</v>
      </c>
      <c r="C100" s="13">
        <v>4.8375399999999997</v>
      </c>
    </row>
    <row r="101" spans="1:3" x14ac:dyDescent="0.25">
      <c r="A101" t="s">
        <v>563</v>
      </c>
      <c r="B101">
        <v>19.865559999999999</v>
      </c>
      <c r="C101" s="13">
        <v>9.6213309999999996</v>
      </c>
    </row>
    <row r="102" spans="1:3" x14ac:dyDescent="0.25">
      <c r="A102" t="s">
        <v>564</v>
      </c>
      <c r="B102">
        <v>0</v>
      </c>
      <c r="C102" s="13">
        <v>0</v>
      </c>
    </row>
    <row r="103" spans="1:3" x14ac:dyDescent="0.25">
      <c r="A103" t="s">
        <v>565</v>
      </c>
      <c r="B103">
        <v>74.468100000000007</v>
      </c>
      <c r="C103" s="13">
        <v>21.71988</v>
      </c>
    </row>
    <row r="104" spans="1:3" x14ac:dyDescent="0.25">
      <c r="A104" t="s">
        <v>566</v>
      </c>
      <c r="B104">
        <v>12.42985</v>
      </c>
      <c r="C104" s="13">
        <v>3.1152120000000001</v>
      </c>
    </row>
    <row r="105" spans="1:3" x14ac:dyDescent="0.25">
      <c r="A105" t="s">
        <v>567</v>
      </c>
      <c r="B105">
        <v>23.860869999999998</v>
      </c>
      <c r="C105" s="13">
        <v>13.52257</v>
      </c>
    </row>
    <row r="106" spans="1:3" x14ac:dyDescent="0.25">
      <c r="A106" t="s">
        <v>568</v>
      </c>
      <c r="B106">
        <v>8.878463</v>
      </c>
      <c r="C106" s="13">
        <v>3.5089939999999999</v>
      </c>
    </row>
    <row r="107" spans="1:3" x14ac:dyDescent="0.25">
      <c r="A107" t="s">
        <v>569</v>
      </c>
      <c r="B107">
        <v>12.54083</v>
      </c>
      <c r="C107" s="13">
        <v>4.5517149999999997</v>
      </c>
    </row>
    <row r="108" spans="1:3" x14ac:dyDescent="0.25">
      <c r="A108" t="s">
        <v>570</v>
      </c>
      <c r="B108">
        <v>36.845619999999997</v>
      </c>
      <c r="C108" s="13">
        <v>0</v>
      </c>
    </row>
    <row r="109" spans="1:3" x14ac:dyDescent="0.25">
      <c r="A109" t="s">
        <v>571</v>
      </c>
      <c r="B109">
        <v>36.956600000000002</v>
      </c>
      <c r="C109" s="13">
        <v>0</v>
      </c>
    </row>
    <row r="110" spans="1:3" x14ac:dyDescent="0.25">
      <c r="A110" t="s">
        <v>572</v>
      </c>
      <c r="B110">
        <v>36.845619999999997</v>
      </c>
      <c r="C110" s="13">
        <v>0</v>
      </c>
    </row>
    <row r="111" spans="1:3" x14ac:dyDescent="0.25">
      <c r="A111" t="s">
        <v>573</v>
      </c>
      <c r="B111">
        <v>0</v>
      </c>
      <c r="C111" s="13">
        <v>0</v>
      </c>
    </row>
    <row r="112" spans="1:3" x14ac:dyDescent="0.25">
      <c r="A112" t="s">
        <v>574</v>
      </c>
      <c r="B112">
        <v>4.1062890000000003</v>
      </c>
      <c r="C112" s="13">
        <v>1.3496729999999999</v>
      </c>
    </row>
    <row r="113" spans="1:3" x14ac:dyDescent="0.25">
      <c r="A113" t="s">
        <v>575</v>
      </c>
      <c r="B113">
        <v>33.627180000000003</v>
      </c>
      <c r="C113" s="13">
        <v>13.2903</v>
      </c>
    </row>
    <row r="114" spans="1:3" x14ac:dyDescent="0.25">
      <c r="A114" t="s">
        <v>576</v>
      </c>
      <c r="B114">
        <v>8.6565010000000004</v>
      </c>
      <c r="C114" s="13">
        <v>0</v>
      </c>
    </row>
    <row r="115" spans="1:3" x14ac:dyDescent="0.25">
      <c r="A115" t="s">
        <v>577</v>
      </c>
      <c r="B115">
        <v>15.093389999999999</v>
      </c>
      <c r="C115" s="13">
        <v>4.9609560000000004</v>
      </c>
    </row>
    <row r="116" spans="1:3" x14ac:dyDescent="0.25">
      <c r="A116" t="s">
        <v>578</v>
      </c>
      <c r="B116">
        <v>15.093389999999999</v>
      </c>
      <c r="C116" s="13">
        <v>4.9609560000000004</v>
      </c>
    </row>
    <row r="117" spans="1:3" x14ac:dyDescent="0.25">
      <c r="A117" t="s">
        <v>579</v>
      </c>
      <c r="B117">
        <v>81.459890000000001</v>
      </c>
      <c r="C117" s="13">
        <v>37.114229999999999</v>
      </c>
    </row>
    <row r="118" spans="1:3" x14ac:dyDescent="0.25">
      <c r="A118" t="s">
        <v>580</v>
      </c>
      <c r="B118">
        <v>21.9742</v>
      </c>
      <c r="C118" s="13">
        <v>10.64259</v>
      </c>
    </row>
    <row r="119" spans="1:3" x14ac:dyDescent="0.25">
      <c r="A119" t="s">
        <v>581</v>
      </c>
      <c r="B119">
        <v>15.093389999999999</v>
      </c>
      <c r="C119" s="13">
        <v>4.9609560000000004</v>
      </c>
    </row>
    <row r="120" spans="1:3" x14ac:dyDescent="0.25">
      <c r="A120" t="s">
        <v>582</v>
      </c>
      <c r="B120">
        <v>8.9894429999999996</v>
      </c>
      <c r="C120" s="13">
        <v>1.280931</v>
      </c>
    </row>
    <row r="121" spans="1:3" x14ac:dyDescent="0.25">
      <c r="A121" t="s">
        <v>583</v>
      </c>
      <c r="B121">
        <v>5.4380579999999998</v>
      </c>
      <c r="C121" s="13">
        <v>0</v>
      </c>
    </row>
    <row r="122" spans="1:3" x14ac:dyDescent="0.25">
      <c r="A122" t="s">
        <v>584</v>
      </c>
      <c r="B122">
        <v>15.759270000000001</v>
      </c>
      <c r="C122" s="13">
        <v>17.461300000000001</v>
      </c>
    </row>
    <row r="123" spans="1:3" x14ac:dyDescent="0.25">
      <c r="A123" t="s">
        <v>585</v>
      </c>
      <c r="B123">
        <v>34.182079999999999</v>
      </c>
      <c r="C123" s="13">
        <v>12.40644</v>
      </c>
    </row>
    <row r="124" spans="1:3" x14ac:dyDescent="0.25">
      <c r="A124" t="s">
        <v>586</v>
      </c>
      <c r="B124">
        <v>14.760439999999999</v>
      </c>
      <c r="C124" s="13">
        <v>9.1476980000000001</v>
      </c>
    </row>
    <row r="125" spans="1:3" x14ac:dyDescent="0.25">
      <c r="A125" t="s">
        <v>587</v>
      </c>
      <c r="B125">
        <v>7.1027699999999996</v>
      </c>
      <c r="C125" s="13">
        <v>4.5879370000000002</v>
      </c>
    </row>
    <row r="126" spans="1:3" x14ac:dyDescent="0.25">
      <c r="A126" t="s">
        <v>588</v>
      </c>
      <c r="B126">
        <v>22.085170000000002</v>
      </c>
      <c r="C126" s="13">
        <v>12.51624</v>
      </c>
    </row>
    <row r="127" spans="1:3" x14ac:dyDescent="0.25">
      <c r="A127" t="s">
        <v>589</v>
      </c>
      <c r="B127">
        <v>16.709379999999999</v>
      </c>
      <c r="C127" s="13">
        <v>3.3929819999999999</v>
      </c>
    </row>
    <row r="128" spans="1:3" x14ac:dyDescent="0.25">
      <c r="A128" t="s">
        <v>590</v>
      </c>
      <c r="B128">
        <v>35.899059999999999</v>
      </c>
      <c r="C128" s="13">
        <v>5.1153209999999998</v>
      </c>
    </row>
    <row r="129" spans="1:3" x14ac:dyDescent="0.25">
      <c r="A129" t="s">
        <v>591</v>
      </c>
      <c r="B129">
        <v>15.79556</v>
      </c>
      <c r="C129" s="13">
        <v>3.2074259999999999</v>
      </c>
    </row>
    <row r="130" spans="1:3" x14ac:dyDescent="0.25">
      <c r="A130" t="s">
        <v>592</v>
      </c>
      <c r="B130">
        <v>21.27835</v>
      </c>
      <c r="C130" s="13">
        <v>3.0320049999999998</v>
      </c>
    </row>
    <row r="131" spans="1:3" x14ac:dyDescent="0.25">
      <c r="A131" t="s">
        <v>593</v>
      </c>
      <c r="B131">
        <v>16.578859999999999</v>
      </c>
      <c r="C131" s="13">
        <v>0</v>
      </c>
    </row>
    <row r="132" spans="1:3" x14ac:dyDescent="0.25">
      <c r="A132" t="s">
        <v>594</v>
      </c>
      <c r="B132">
        <v>11.35722</v>
      </c>
      <c r="C132" s="13">
        <v>4.838152</v>
      </c>
    </row>
    <row r="133" spans="1:3" x14ac:dyDescent="0.25">
      <c r="A133" t="s">
        <v>595</v>
      </c>
      <c r="B133">
        <v>40.064059999999998</v>
      </c>
      <c r="C133" s="13">
        <v>8.1353380000000008</v>
      </c>
    </row>
    <row r="134" spans="1:3" x14ac:dyDescent="0.25">
      <c r="A134" t="s">
        <v>596</v>
      </c>
      <c r="B134">
        <v>39.842100000000002</v>
      </c>
      <c r="C134" s="13">
        <v>8.0902809999999992</v>
      </c>
    </row>
    <row r="135" spans="1:3" x14ac:dyDescent="0.25">
      <c r="A135" t="s">
        <v>597</v>
      </c>
      <c r="B135">
        <v>40.507980000000003</v>
      </c>
      <c r="C135" s="13">
        <v>8.2254830000000005</v>
      </c>
    </row>
    <row r="136" spans="1:3" x14ac:dyDescent="0.25">
      <c r="A136" t="s">
        <v>598</v>
      </c>
      <c r="B136">
        <v>4.4392310000000004</v>
      </c>
      <c r="C136" s="13">
        <v>-0.90142480000000003</v>
      </c>
    </row>
    <row r="137" spans="1:3" x14ac:dyDescent="0.25">
      <c r="A137" t="s">
        <v>599</v>
      </c>
      <c r="B137">
        <v>30.51971</v>
      </c>
      <c r="C137" s="13">
        <v>4.3488199999999999</v>
      </c>
    </row>
    <row r="138" spans="1:3" x14ac:dyDescent="0.25">
      <c r="A138" t="s">
        <v>600</v>
      </c>
      <c r="B138">
        <v>20.86439</v>
      </c>
      <c r="C138" s="13">
        <v>-6.0854429999999997</v>
      </c>
    </row>
    <row r="139" spans="1:3" x14ac:dyDescent="0.25">
      <c r="A139" t="s">
        <v>601</v>
      </c>
      <c r="B139">
        <v>0</v>
      </c>
      <c r="C139" s="13">
        <v>0</v>
      </c>
    </row>
    <row r="140" spans="1:3" x14ac:dyDescent="0.25">
      <c r="A140" t="s">
        <v>602</v>
      </c>
      <c r="B140">
        <v>0</v>
      </c>
      <c r="C140" s="13">
        <v>0</v>
      </c>
    </row>
    <row r="141" spans="1:3" x14ac:dyDescent="0.25">
      <c r="A141" t="s">
        <v>603</v>
      </c>
      <c r="B141">
        <v>0</v>
      </c>
      <c r="C141" s="13">
        <v>0</v>
      </c>
    </row>
    <row r="142" spans="1:3" x14ac:dyDescent="0.25">
      <c r="A142" t="s">
        <v>604</v>
      </c>
      <c r="B142">
        <v>0</v>
      </c>
      <c r="C142" s="13">
        <v>0</v>
      </c>
    </row>
    <row r="143" spans="1:3" x14ac:dyDescent="0.25">
      <c r="A143" t="s">
        <v>605</v>
      </c>
      <c r="B143">
        <v>0</v>
      </c>
      <c r="C143" s="13">
        <v>0</v>
      </c>
    </row>
    <row r="144" spans="1:3" x14ac:dyDescent="0.25">
      <c r="A144" t="s">
        <v>606</v>
      </c>
      <c r="B144">
        <v>0</v>
      </c>
      <c r="C144" s="13">
        <v>0</v>
      </c>
    </row>
    <row r="145" spans="1:3" x14ac:dyDescent="0.25">
      <c r="A145" t="s">
        <v>607</v>
      </c>
      <c r="B145">
        <v>0</v>
      </c>
      <c r="C145" s="13">
        <v>0</v>
      </c>
    </row>
    <row r="146" spans="1:3" x14ac:dyDescent="0.25">
      <c r="A146" t="s">
        <v>608</v>
      </c>
      <c r="B146">
        <v>22.085170000000002</v>
      </c>
      <c r="C146" s="13">
        <v>-3.1469589999999998</v>
      </c>
    </row>
    <row r="147" spans="1:3" x14ac:dyDescent="0.25">
      <c r="A147" t="s">
        <v>609</v>
      </c>
      <c r="B147">
        <v>0</v>
      </c>
      <c r="C147" s="13">
        <v>0</v>
      </c>
    </row>
    <row r="148" spans="1:3" x14ac:dyDescent="0.25">
      <c r="A148" t="s">
        <v>610</v>
      </c>
      <c r="B148">
        <v>0</v>
      </c>
      <c r="C148" s="13">
        <v>0</v>
      </c>
    </row>
    <row r="149" spans="1:3" x14ac:dyDescent="0.25">
      <c r="A149" t="s">
        <v>611</v>
      </c>
      <c r="B149">
        <v>10.9871</v>
      </c>
      <c r="C149" s="13">
        <v>1.565571</v>
      </c>
    </row>
    <row r="150" spans="1:3" x14ac:dyDescent="0.25">
      <c r="A150" t="s">
        <v>612</v>
      </c>
      <c r="B150">
        <v>15.648289999999999</v>
      </c>
      <c r="C150" s="13">
        <v>0</v>
      </c>
    </row>
    <row r="151" spans="1:3" x14ac:dyDescent="0.25">
      <c r="A151" t="s">
        <v>613</v>
      </c>
      <c r="B151">
        <v>50.718220000000002</v>
      </c>
      <c r="C151" s="13">
        <v>0</v>
      </c>
    </row>
    <row r="152" spans="1:3" x14ac:dyDescent="0.25">
      <c r="A152" t="s">
        <v>614</v>
      </c>
      <c r="B152">
        <v>6.880808</v>
      </c>
      <c r="C152" s="13">
        <v>1.397208</v>
      </c>
    </row>
    <row r="153" spans="1:3" x14ac:dyDescent="0.25">
      <c r="A153" t="s">
        <v>615</v>
      </c>
      <c r="B153">
        <v>12.98475</v>
      </c>
      <c r="C153" s="13">
        <v>4.267881</v>
      </c>
    </row>
    <row r="154" spans="1:3" x14ac:dyDescent="0.25">
      <c r="A154" t="s">
        <v>616</v>
      </c>
      <c r="B154">
        <v>0</v>
      </c>
      <c r="C154" s="13">
        <v>0</v>
      </c>
    </row>
    <row r="155" spans="1:3" x14ac:dyDescent="0.25">
      <c r="A155" t="s">
        <v>617</v>
      </c>
      <c r="B155">
        <v>2.5525579999999999</v>
      </c>
      <c r="C155" s="13">
        <v>-1.581933</v>
      </c>
    </row>
    <row r="156" spans="1:3" x14ac:dyDescent="0.25">
      <c r="A156" t="s">
        <v>618</v>
      </c>
      <c r="B156">
        <v>7.9906160000000002</v>
      </c>
      <c r="C156" s="13">
        <v>0</v>
      </c>
    </row>
    <row r="157" spans="1:3" x14ac:dyDescent="0.25">
      <c r="A157" t="s">
        <v>619</v>
      </c>
      <c r="B157">
        <v>0</v>
      </c>
      <c r="C157" s="13">
        <v>0</v>
      </c>
    </row>
    <row r="158" spans="1:3" x14ac:dyDescent="0.25">
      <c r="A158" t="s">
        <v>620</v>
      </c>
      <c r="B158">
        <v>51.162140000000001</v>
      </c>
      <c r="C158" s="13">
        <v>23.31016</v>
      </c>
    </row>
    <row r="159" spans="1:3" x14ac:dyDescent="0.25">
      <c r="A159" t="s">
        <v>621</v>
      </c>
      <c r="B159">
        <v>12.42985</v>
      </c>
      <c r="C159" s="13">
        <v>3.1152120000000001</v>
      </c>
    </row>
    <row r="160" spans="1:3" x14ac:dyDescent="0.25">
      <c r="A160" t="s">
        <v>622</v>
      </c>
      <c r="B160">
        <v>7.1027699999999996</v>
      </c>
      <c r="C160" s="13">
        <v>0</v>
      </c>
    </row>
    <row r="161" spans="1:3" x14ac:dyDescent="0.25">
      <c r="A161" t="s">
        <v>623</v>
      </c>
      <c r="B161">
        <v>33.40522</v>
      </c>
      <c r="C161" s="13">
        <v>9.7431870000000007</v>
      </c>
    </row>
    <row r="162" spans="1:3" x14ac:dyDescent="0.25">
      <c r="A162" t="s">
        <v>624</v>
      </c>
      <c r="B162">
        <v>8.4345400000000001</v>
      </c>
      <c r="C162" s="13">
        <v>2.1138910000000002</v>
      </c>
    </row>
    <row r="163" spans="1:3" x14ac:dyDescent="0.25">
      <c r="A163" t="s">
        <v>625</v>
      </c>
      <c r="B163">
        <v>8.4345400000000001</v>
      </c>
      <c r="C163" s="13">
        <v>2.1138910000000002</v>
      </c>
    </row>
    <row r="164" spans="1:3" x14ac:dyDescent="0.25">
      <c r="A164" t="s">
        <v>626</v>
      </c>
      <c r="B164">
        <v>0.22196160000000001</v>
      </c>
      <c r="C164" s="13">
        <v>-0.1137142</v>
      </c>
    </row>
    <row r="165" spans="1:3" x14ac:dyDescent="0.25">
      <c r="A165" t="s">
        <v>627</v>
      </c>
      <c r="B165">
        <v>0.22196160000000001</v>
      </c>
      <c r="C165" s="13">
        <v>-0.22014890000000001</v>
      </c>
    </row>
    <row r="166" spans="1:3" x14ac:dyDescent="0.25">
      <c r="A166" t="s">
        <v>628</v>
      </c>
      <c r="B166">
        <v>2.9964810000000002</v>
      </c>
      <c r="C166" s="13">
        <v>0</v>
      </c>
    </row>
    <row r="167" spans="1:3" x14ac:dyDescent="0.25">
      <c r="A167" t="s">
        <v>629</v>
      </c>
      <c r="B167">
        <v>7.3247309999999999</v>
      </c>
      <c r="C167" s="13">
        <v>2.8949189999999998</v>
      </c>
    </row>
    <row r="168" spans="1:3" x14ac:dyDescent="0.25">
      <c r="A168" t="s">
        <v>630</v>
      </c>
      <c r="B168">
        <v>5.8819809999999997</v>
      </c>
      <c r="C168" s="13">
        <v>4.5649139999999999</v>
      </c>
    </row>
    <row r="169" spans="1:3" x14ac:dyDescent="0.25">
      <c r="A169" t="s">
        <v>631</v>
      </c>
      <c r="B169">
        <v>1.44275</v>
      </c>
      <c r="C169" s="13">
        <v>0.89413600000000004</v>
      </c>
    </row>
    <row r="170" spans="1:3" x14ac:dyDescent="0.25">
      <c r="A170" t="s">
        <v>632</v>
      </c>
      <c r="B170">
        <v>12.140409999999999</v>
      </c>
      <c r="C170" s="13">
        <v>3.0426700000000002</v>
      </c>
    </row>
    <row r="171" spans="1:3" x14ac:dyDescent="0.25">
      <c r="A171" t="s">
        <v>633</v>
      </c>
      <c r="B171">
        <v>24.672470000000001</v>
      </c>
      <c r="C171" s="13">
        <v>6.1835040000000001</v>
      </c>
    </row>
    <row r="172" spans="1:3" x14ac:dyDescent="0.25">
      <c r="A172" t="s">
        <v>634</v>
      </c>
      <c r="B172">
        <v>12.140409999999999</v>
      </c>
      <c r="C172" s="13">
        <v>3.0426700000000002</v>
      </c>
    </row>
    <row r="173" spans="1:3" x14ac:dyDescent="0.25">
      <c r="A173" t="s">
        <v>635</v>
      </c>
      <c r="B173">
        <v>0.65267799999999998</v>
      </c>
      <c r="C173" s="13">
        <v>-9.3000920000000001E-2</v>
      </c>
    </row>
    <row r="174" spans="1:3" x14ac:dyDescent="0.25">
      <c r="A174" t="s">
        <v>636</v>
      </c>
      <c r="B174">
        <v>0.65267799999999998</v>
      </c>
      <c r="C174" s="13">
        <v>-9.3000920000000001E-2</v>
      </c>
    </row>
    <row r="175" spans="1:3" x14ac:dyDescent="0.25">
      <c r="A175" t="s">
        <v>637</v>
      </c>
      <c r="B175">
        <v>9.7906130000000005</v>
      </c>
      <c r="C175" s="13">
        <v>1.9880660000000001</v>
      </c>
    </row>
    <row r="176" spans="1:3" x14ac:dyDescent="0.25">
      <c r="A176" t="s">
        <v>638</v>
      </c>
      <c r="B176">
        <v>19.796800000000001</v>
      </c>
      <c r="C176" s="13">
        <v>0</v>
      </c>
    </row>
    <row r="177" spans="1:3" x14ac:dyDescent="0.25">
      <c r="A177" t="s">
        <v>639</v>
      </c>
      <c r="B177">
        <v>19.796800000000001</v>
      </c>
      <c r="C177" s="13">
        <v>0</v>
      </c>
    </row>
    <row r="178" spans="1:3" x14ac:dyDescent="0.25">
      <c r="A178" t="s">
        <v>640</v>
      </c>
      <c r="B178">
        <v>7.6576740000000001</v>
      </c>
      <c r="C178" s="13">
        <v>16.07807</v>
      </c>
    </row>
    <row r="179" spans="1:3" x14ac:dyDescent="0.25">
      <c r="A179" t="s">
        <v>641</v>
      </c>
      <c r="B179">
        <v>0.1109808</v>
      </c>
      <c r="C179" s="13">
        <v>0.54369250000000002</v>
      </c>
    </row>
    <row r="180" spans="1:3" x14ac:dyDescent="0.25">
      <c r="A180" t="s">
        <v>642</v>
      </c>
      <c r="B180">
        <v>0</v>
      </c>
      <c r="C180" s="13">
        <v>0</v>
      </c>
    </row>
    <row r="181" spans="1:3" x14ac:dyDescent="0.25">
      <c r="A181" t="s">
        <v>643</v>
      </c>
      <c r="B181">
        <v>0</v>
      </c>
      <c r="C181" s="13">
        <v>0</v>
      </c>
    </row>
    <row r="182" spans="1:3" x14ac:dyDescent="0.25">
      <c r="A182" t="s">
        <v>644</v>
      </c>
      <c r="B182">
        <v>5.3270770000000001</v>
      </c>
      <c r="C182" s="13">
        <v>1.3350880000000001</v>
      </c>
    </row>
    <row r="183" spans="1:3" x14ac:dyDescent="0.25">
      <c r="A183" t="s">
        <v>645</v>
      </c>
      <c r="B183">
        <v>12.42985</v>
      </c>
      <c r="C183" s="13">
        <v>2.5239850000000001</v>
      </c>
    </row>
    <row r="184" spans="1:3" x14ac:dyDescent="0.25">
      <c r="A184" t="s">
        <v>646</v>
      </c>
      <c r="B184">
        <v>0</v>
      </c>
      <c r="C184" s="13">
        <v>0</v>
      </c>
    </row>
    <row r="185" spans="1:3" x14ac:dyDescent="0.25">
      <c r="A185" t="s">
        <v>647</v>
      </c>
      <c r="B185">
        <v>1.997654</v>
      </c>
      <c r="C185" s="13">
        <v>0.58264930000000004</v>
      </c>
    </row>
    <row r="186" spans="1:3" x14ac:dyDescent="0.25">
      <c r="A186" t="s">
        <v>648</v>
      </c>
      <c r="B186">
        <v>34.182079999999999</v>
      </c>
      <c r="C186" s="13">
        <v>8.5668399999999991</v>
      </c>
    </row>
    <row r="187" spans="1:3" x14ac:dyDescent="0.25">
      <c r="A187" t="s">
        <v>649</v>
      </c>
      <c r="B187">
        <v>64.479839999999996</v>
      </c>
      <c r="C187" s="13">
        <v>9.1878720000000005</v>
      </c>
    </row>
    <row r="188" spans="1:3" x14ac:dyDescent="0.25">
      <c r="A188" t="s">
        <v>650</v>
      </c>
      <c r="B188">
        <v>58.1</v>
      </c>
      <c r="C188" s="13">
        <v>8.2788029999999999</v>
      </c>
    </row>
    <row r="189" spans="1:3" x14ac:dyDescent="0.25">
      <c r="A189" t="s">
        <v>651</v>
      </c>
      <c r="B189">
        <v>50.718220000000002</v>
      </c>
      <c r="C189" s="13">
        <v>0</v>
      </c>
    </row>
    <row r="190" spans="1:3" x14ac:dyDescent="0.25">
      <c r="A190" t="s">
        <v>652</v>
      </c>
      <c r="B190">
        <v>51.939010000000003</v>
      </c>
      <c r="C190" s="13">
        <v>0</v>
      </c>
    </row>
    <row r="191" spans="1:3" x14ac:dyDescent="0.25">
      <c r="A191" t="s">
        <v>653</v>
      </c>
      <c r="B191">
        <v>0.88784620000000003</v>
      </c>
      <c r="C191" s="13">
        <v>-3.2973539999999999</v>
      </c>
    </row>
    <row r="192" spans="1:3" x14ac:dyDescent="0.25">
      <c r="A192" t="s">
        <v>654</v>
      </c>
      <c r="B192">
        <v>2.4415770000000001</v>
      </c>
      <c r="C192" s="13">
        <v>-0.34790650000000001</v>
      </c>
    </row>
    <row r="193" spans="1:3" x14ac:dyDescent="0.25">
      <c r="A193" t="s">
        <v>655</v>
      </c>
      <c r="B193">
        <v>0</v>
      </c>
      <c r="C193" s="13">
        <v>0</v>
      </c>
    </row>
    <row r="194" spans="1:3" x14ac:dyDescent="0.25">
      <c r="A194" t="s">
        <v>656</v>
      </c>
      <c r="B194">
        <v>0</v>
      </c>
      <c r="C194" s="13">
        <v>0</v>
      </c>
    </row>
    <row r="195" spans="1:3" x14ac:dyDescent="0.25">
      <c r="A195" t="s">
        <v>657</v>
      </c>
      <c r="B195">
        <v>0</v>
      </c>
      <c r="C195" s="13">
        <v>0</v>
      </c>
    </row>
    <row r="196" spans="1:3" x14ac:dyDescent="0.25">
      <c r="A196" t="s">
        <v>658</v>
      </c>
      <c r="B196">
        <v>68.25318</v>
      </c>
      <c r="C196" s="13">
        <v>-9.7255310000000001</v>
      </c>
    </row>
    <row r="197" spans="1:3" x14ac:dyDescent="0.25">
      <c r="A197" t="s">
        <v>659</v>
      </c>
      <c r="B197">
        <v>0</v>
      </c>
      <c r="C197" s="13">
        <v>0</v>
      </c>
    </row>
    <row r="198" spans="1:3" x14ac:dyDescent="0.25">
      <c r="A198" t="s">
        <v>660</v>
      </c>
      <c r="B198">
        <v>68.25318</v>
      </c>
      <c r="C198" s="13">
        <v>9.7255310000000001</v>
      </c>
    </row>
    <row r="199" spans="1:3" x14ac:dyDescent="0.25">
      <c r="A199" t="s">
        <v>661</v>
      </c>
      <c r="B199">
        <v>9.1004240000000003</v>
      </c>
      <c r="C199" s="13">
        <v>6.1155229999999996</v>
      </c>
    </row>
    <row r="200" spans="1:3" x14ac:dyDescent="0.25">
      <c r="A200" t="s">
        <v>662</v>
      </c>
      <c r="B200">
        <v>9.4333670000000005</v>
      </c>
      <c r="C200" s="13">
        <v>5.8462740000000002</v>
      </c>
    </row>
    <row r="201" spans="1:3" x14ac:dyDescent="0.25">
      <c r="A201" t="s">
        <v>663</v>
      </c>
      <c r="B201">
        <v>23.194980000000001</v>
      </c>
      <c r="C201" s="13">
        <v>0</v>
      </c>
    </row>
    <row r="202" spans="1:3" x14ac:dyDescent="0.25">
      <c r="A202" t="s">
        <v>664</v>
      </c>
      <c r="B202">
        <v>6.880808</v>
      </c>
      <c r="C202" s="13">
        <v>0.98045899999999997</v>
      </c>
    </row>
    <row r="203" spans="1:3" x14ac:dyDescent="0.25">
      <c r="A203" t="s">
        <v>665</v>
      </c>
      <c r="B203">
        <v>3.7733469999999998</v>
      </c>
      <c r="C203" s="13">
        <v>3.4297010000000001</v>
      </c>
    </row>
    <row r="204" spans="1:3" x14ac:dyDescent="0.25">
      <c r="A204" t="s">
        <v>666</v>
      </c>
      <c r="B204">
        <v>0</v>
      </c>
      <c r="C204" s="13">
        <v>0</v>
      </c>
    </row>
    <row r="205" spans="1:3" x14ac:dyDescent="0.25">
      <c r="A205" t="s">
        <v>667</v>
      </c>
      <c r="B205">
        <v>7.9906160000000002</v>
      </c>
      <c r="C205" s="13">
        <v>3.8700329999999998</v>
      </c>
    </row>
    <row r="206" spans="1:3" x14ac:dyDescent="0.25">
      <c r="A206" t="s">
        <v>668</v>
      </c>
      <c r="B206">
        <v>23.97185</v>
      </c>
      <c r="C206" s="13">
        <v>0</v>
      </c>
    </row>
    <row r="207" spans="1:3" x14ac:dyDescent="0.25">
      <c r="A207" t="s">
        <v>669</v>
      </c>
      <c r="B207">
        <v>23.749890000000001</v>
      </c>
      <c r="C207" s="13">
        <v>0</v>
      </c>
    </row>
    <row r="208" spans="1:3" x14ac:dyDescent="0.25">
      <c r="A208" t="s">
        <v>670</v>
      </c>
      <c r="B208">
        <v>0</v>
      </c>
      <c r="C208" s="13">
        <v>0</v>
      </c>
    </row>
    <row r="209" spans="1:3" x14ac:dyDescent="0.25">
      <c r="A209" t="s">
        <v>671</v>
      </c>
      <c r="B209">
        <v>0.22196160000000001</v>
      </c>
      <c r="C209" s="13">
        <v>0.65715710000000005</v>
      </c>
    </row>
    <row r="210" spans="1:3" x14ac:dyDescent="0.25">
      <c r="A210" t="s">
        <v>672</v>
      </c>
      <c r="B210">
        <v>0.22196160000000001</v>
      </c>
      <c r="C210" s="13">
        <v>0.65715710000000005</v>
      </c>
    </row>
    <row r="211" spans="1:3" x14ac:dyDescent="0.25">
      <c r="A211" t="s">
        <v>673</v>
      </c>
      <c r="B211">
        <v>0</v>
      </c>
      <c r="C211" s="13">
        <v>0</v>
      </c>
    </row>
    <row r="212" spans="1:3" x14ac:dyDescent="0.25">
      <c r="A212" t="s">
        <v>674</v>
      </c>
      <c r="B212">
        <v>0</v>
      </c>
      <c r="C212" s="13">
        <v>0</v>
      </c>
    </row>
    <row r="213" spans="1:3" x14ac:dyDescent="0.25">
      <c r="A213" t="s">
        <v>675</v>
      </c>
      <c r="B213">
        <v>2.8855</v>
      </c>
      <c r="C213" s="13">
        <v>1.8638490000000001</v>
      </c>
    </row>
    <row r="214" spans="1:3" x14ac:dyDescent="0.25">
      <c r="A214" t="s">
        <v>676</v>
      </c>
      <c r="B214">
        <v>2.8855</v>
      </c>
      <c r="C214" s="13">
        <v>1.557428</v>
      </c>
    </row>
    <row r="215" spans="1:3" x14ac:dyDescent="0.25">
      <c r="A215" t="s">
        <v>677</v>
      </c>
      <c r="B215">
        <v>2.9964810000000002</v>
      </c>
      <c r="C215" s="13">
        <v>2.0136479999999999</v>
      </c>
    </row>
    <row r="216" spans="1:3" x14ac:dyDescent="0.25">
      <c r="A216" t="s">
        <v>678</v>
      </c>
      <c r="B216">
        <v>0.99882700000000002</v>
      </c>
      <c r="C216" s="13">
        <v>-0.1423248</v>
      </c>
    </row>
    <row r="217" spans="1:3" x14ac:dyDescent="0.25">
      <c r="A217" t="s">
        <v>679</v>
      </c>
      <c r="B217">
        <v>0</v>
      </c>
      <c r="C217" s="13">
        <v>0</v>
      </c>
    </row>
    <row r="218" spans="1:3" x14ac:dyDescent="0.25">
      <c r="A218" t="s">
        <v>680</v>
      </c>
      <c r="B218">
        <v>3.3294229999999998</v>
      </c>
      <c r="C218" s="13">
        <v>1.2084189999999999</v>
      </c>
    </row>
    <row r="219" spans="1:3" x14ac:dyDescent="0.25">
      <c r="A219" t="s">
        <v>681</v>
      </c>
      <c r="B219">
        <v>7.6576740000000001</v>
      </c>
      <c r="C219" s="13">
        <v>-13.263479999999999</v>
      </c>
    </row>
    <row r="220" spans="1:3" x14ac:dyDescent="0.25">
      <c r="A220" t="s">
        <v>682</v>
      </c>
      <c r="B220">
        <v>0</v>
      </c>
      <c r="C220" s="13">
        <v>0</v>
      </c>
    </row>
    <row r="221" spans="1:3" x14ac:dyDescent="0.25">
      <c r="A221" t="s">
        <v>683</v>
      </c>
      <c r="B221">
        <v>0.33294230000000002</v>
      </c>
      <c r="C221" s="13">
        <v>0.1094329</v>
      </c>
    </row>
    <row r="222" spans="1:3" x14ac:dyDescent="0.25">
      <c r="A222" t="s">
        <v>684</v>
      </c>
      <c r="B222">
        <v>1.2207889999999999</v>
      </c>
      <c r="C222" s="13">
        <v>2.9716130000000001</v>
      </c>
    </row>
    <row r="223" spans="1:3" x14ac:dyDescent="0.25">
      <c r="A223" t="s">
        <v>685</v>
      </c>
      <c r="B223">
        <v>0</v>
      </c>
      <c r="C223" s="13">
        <v>0</v>
      </c>
    </row>
    <row r="224" spans="1:3" x14ac:dyDescent="0.25">
      <c r="A224" t="s">
        <v>685</v>
      </c>
      <c r="B224">
        <v>0</v>
      </c>
      <c r="C224" s="13">
        <v>0</v>
      </c>
    </row>
    <row r="225" spans="1:3" x14ac:dyDescent="0.25">
      <c r="A225" t="s">
        <v>686</v>
      </c>
      <c r="B225">
        <v>0</v>
      </c>
      <c r="C225" s="13">
        <v>0</v>
      </c>
    </row>
    <row r="226" spans="1:3" x14ac:dyDescent="0.25">
      <c r="A226" t="s">
        <v>686</v>
      </c>
      <c r="B226">
        <v>0</v>
      </c>
      <c r="C226" s="13">
        <v>0</v>
      </c>
    </row>
    <row r="227" spans="1:3" x14ac:dyDescent="0.25">
      <c r="A227" t="s">
        <v>686</v>
      </c>
      <c r="B227">
        <v>0</v>
      </c>
      <c r="C227" s="13">
        <v>0</v>
      </c>
    </row>
    <row r="228" spans="1:3" x14ac:dyDescent="0.25">
      <c r="A228" t="s">
        <v>686</v>
      </c>
      <c r="B228">
        <v>0</v>
      </c>
      <c r="C228" s="13">
        <v>0</v>
      </c>
    </row>
    <row r="229" spans="1:3" x14ac:dyDescent="0.25">
      <c r="A229" t="s">
        <v>687</v>
      </c>
      <c r="B229">
        <v>0</v>
      </c>
      <c r="C229" s="13">
        <v>0</v>
      </c>
    </row>
    <row r="230" spans="1:3" x14ac:dyDescent="0.25">
      <c r="A230" t="s">
        <v>687</v>
      </c>
      <c r="B230">
        <v>0</v>
      </c>
      <c r="C230" s="13">
        <v>0</v>
      </c>
    </row>
    <row r="231" spans="1:3" x14ac:dyDescent="0.25">
      <c r="A231" t="s">
        <v>687</v>
      </c>
      <c r="B231">
        <v>0</v>
      </c>
      <c r="C231" s="13">
        <v>0</v>
      </c>
    </row>
    <row r="232" spans="1:3" x14ac:dyDescent="0.25">
      <c r="A232" t="s">
        <v>687</v>
      </c>
      <c r="B232">
        <v>0</v>
      </c>
      <c r="C232" s="13">
        <v>0</v>
      </c>
    </row>
    <row r="233" spans="1:3" x14ac:dyDescent="0.25">
      <c r="A233" t="s">
        <v>688</v>
      </c>
      <c r="B233">
        <v>0</v>
      </c>
      <c r="C233" s="13">
        <v>0</v>
      </c>
    </row>
    <row r="234" spans="1:3" x14ac:dyDescent="0.25">
      <c r="A234" t="s">
        <v>688</v>
      </c>
      <c r="B234">
        <v>0</v>
      </c>
      <c r="C234" s="13">
        <v>0</v>
      </c>
    </row>
    <row r="235" spans="1:3" x14ac:dyDescent="0.25">
      <c r="A235" t="s">
        <v>688</v>
      </c>
      <c r="B235">
        <v>0</v>
      </c>
      <c r="C235" s="13">
        <v>0</v>
      </c>
    </row>
    <row r="236" spans="1:3" x14ac:dyDescent="0.25">
      <c r="A236" t="s">
        <v>689</v>
      </c>
      <c r="B236">
        <v>0</v>
      </c>
      <c r="C236" s="13">
        <v>0</v>
      </c>
    </row>
    <row r="237" spans="1:3" x14ac:dyDescent="0.25">
      <c r="A237" t="s">
        <v>690</v>
      </c>
      <c r="B237">
        <v>0</v>
      </c>
      <c r="C237" s="13">
        <v>0</v>
      </c>
    </row>
    <row r="238" spans="1:3" x14ac:dyDescent="0.25">
      <c r="A238" t="s">
        <v>691</v>
      </c>
      <c r="B238">
        <v>0.2083402</v>
      </c>
      <c r="C238" s="13">
        <v>0.15083569999999999</v>
      </c>
    </row>
    <row r="239" spans="1:3" x14ac:dyDescent="0.25">
      <c r="A239" t="s">
        <v>691</v>
      </c>
      <c r="B239">
        <v>0.2083402</v>
      </c>
      <c r="C239" s="13">
        <v>0.15083569999999999</v>
      </c>
    </row>
    <row r="240" spans="1:3" x14ac:dyDescent="0.25">
      <c r="A240" t="s">
        <v>692</v>
      </c>
      <c r="B240">
        <v>0.4254212</v>
      </c>
      <c r="C240" s="13">
        <v>0.30799969999999999</v>
      </c>
    </row>
    <row r="241" spans="1:3" x14ac:dyDescent="0.25">
      <c r="A241" t="s">
        <v>693</v>
      </c>
      <c r="B241">
        <v>0.4254212</v>
      </c>
      <c r="C241" s="13">
        <v>0.30799969999999999</v>
      </c>
    </row>
    <row r="242" spans="1:3" x14ac:dyDescent="0.25">
      <c r="A242" t="s">
        <v>694</v>
      </c>
      <c r="B242">
        <v>0.1135</v>
      </c>
      <c r="C242" s="13">
        <v>0</v>
      </c>
    </row>
    <row r="243" spans="1:3" x14ac:dyDescent="0.25">
      <c r="A243" t="s">
        <v>695</v>
      </c>
      <c r="B243">
        <v>0.09</v>
      </c>
      <c r="C243" s="13">
        <v>0</v>
      </c>
    </row>
    <row r="244" spans="1:3" x14ac:dyDescent="0.25">
      <c r="A244" t="s">
        <v>696</v>
      </c>
      <c r="B244">
        <v>12.37857</v>
      </c>
      <c r="C244" s="13">
        <v>3.1023619999999998</v>
      </c>
    </row>
    <row r="245" spans="1:3" x14ac:dyDescent="0.25">
      <c r="A245" t="s">
        <v>697</v>
      </c>
      <c r="B245">
        <v>29.594919999999998</v>
      </c>
      <c r="C245" s="13">
        <v>9.7273849999999999</v>
      </c>
    </row>
    <row r="246" spans="1:3" x14ac:dyDescent="0.25">
      <c r="A246" t="s">
        <v>698</v>
      </c>
      <c r="B246">
        <v>29.594919999999998</v>
      </c>
      <c r="C246" s="13">
        <v>9.7273849999999999</v>
      </c>
    </row>
    <row r="247" spans="1:3" x14ac:dyDescent="0.25">
      <c r="A247" t="s">
        <v>699</v>
      </c>
      <c r="B247">
        <v>29.594919999999998</v>
      </c>
      <c r="C247" s="13">
        <v>9.7273849999999999</v>
      </c>
    </row>
    <row r="248" spans="1:3" x14ac:dyDescent="0.25">
      <c r="A248" t="s">
        <v>700</v>
      </c>
      <c r="B248">
        <v>4.1700000000000001E-2</v>
      </c>
      <c r="C248" s="13">
        <v>2.5843339999999999E-2</v>
      </c>
    </row>
    <row r="249" spans="1:3" x14ac:dyDescent="0.25">
      <c r="A249" t="s">
        <v>701</v>
      </c>
      <c r="B249">
        <v>0</v>
      </c>
      <c r="C249" s="13">
        <v>0</v>
      </c>
    </row>
    <row r="250" spans="1:3" x14ac:dyDescent="0.25">
      <c r="A250" t="s">
        <v>702</v>
      </c>
      <c r="B250">
        <v>9.8799999999999999E-2</v>
      </c>
      <c r="C250" s="13">
        <v>0</v>
      </c>
    </row>
    <row r="251" spans="1:3" x14ac:dyDescent="0.25">
      <c r="A251" t="s">
        <v>702</v>
      </c>
      <c r="B251">
        <v>9.8799999999999999E-2</v>
      </c>
      <c r="C251" s="13">
        <v>0</v>
      </c>
    </row>
    <row r="252" spans="1:3" x14ac:dyDescent="0.25">
      <c r="A252" t="s">
        <v>702</v>
      </c>
      <c r="B252">
        <v>9.8799999999999999E-2</v>
      </c>
      <c r="C252" s="13">
        <v>0</v>
      </c>
    </row>
    <row r="253" spans="1:3" x14ac:dyDescent="0.25">
      <c r="A253" t="s">
        <v>703</v>
      </c>
      <c r="B253">
        <v>0</v>
      </c>
      <c r="C253" s="13">
        <v>0</v>
      </c>
    </row>
    <row r="254" spans="1:3" x14ac:dyDescent="0.25">
      <c r="A254" t="s">
        <v>704</v>
      </c>
      <c r="B254">
        <v>6.5251869999999998</v>
      </c>
      <c r="C254" s="13">
        <v>1.635365</v>
      </c>
    </row>
    <row r="255" spans="1:3" x14ac:dyDescent="0.25">
      <c r="A255" t="s">
        <v>236</v>
      </c>
      <c r="B255">
        <v>2.0127760000000001</v>
      </c>
      <c r="C255" s="13">
        <v>2.6837010000000001</v>
      </c>
    </row>
    <row r="256" spans="1:3" x14ac:dyDescent="0.25">
      <c r="A256" t="s">
        <v>705</v>
      </c>
      <c r="B256">
        <v>0.45246769999999997</v>
      </c>
      <c r="C256" s="13">
        <v>-0.78369699999999998</v>
      </c>
    </row>
    <row r="257" spans="1:3" x14ac:dyDescent="0.25">
      <c r="A257" t="s">
        <v>706</v>
      </c>
      <c r="B257">
        <v>0</v>
      </c>
      <c r="C257" s="13">
        <v>0</v>
      </c>
    </row>
    <row r="258" spans="1:3" x14ac:dyDescent="0.25">
      <c r="A258" t="s">
        <v>707</v>
      </c>
      <c r="B258">
        <v>0.4706999</v>
      </c>
      <c r="C258" s="13">
        <v>-0.59566459999999999</v>
      </c>
    </row>
    <row r="259" spans="1:3" x14ac:dyDescent="0.25">
      <c r="A259" t="s">
        <v>708</v>
      </c>
      <c r="B259">
        <v>0</v>
      </c>
      <c r="C259" s="13">
        <v>0</v>
      </c>
    </row>
    <row r="260" spans="1:3" x14ac:dyDescent="0.25">
      <c r="A260" t="s">
        <v>709</v>
      </c>
      <c r="B260">
        <v>0.41186240000000002</v>
      </c>
      <c r="C260" s="13">
        <v>0.5936922</v>
      </c>
    </row>
    <row r="261" spans="1:3" x14ac:dyDescent="0.25">
      <c r="A261" t="s">
        <v>241</v>
      </c>
      <c r="B261">
        <v>43.677239999999998</v>
      </c>
      <c r="C261" s="13">
        <v>11.32132</v>
      </c>
    </row>
    <row r="262" spans="1:3" x14ac:dyDescent="0.25">
      <c r="A262" t="s">
        <v>399</v>
      </c>
      <c r="B262">
        <v>0</v>
      </c>
      <c r="C262" s="13">
        <v>0</v>
      </c>
    </row>
    <row r="263" spans="1:3" x14ac:dyDescent="0.25">
      <c r="A263" t="s">
        <v>244</v>
      </c>
      <c r="B263">
        <v>0</v>
      </c>
      <c r="C263" s="13">
        <v>0</v>
      </c>
    </row>
    <row r="264" spans="1:3" x14ac:dyDescent="0.25">
      <c r="A264" t="s">
        <v>710</v>
      </c>
      <c r="B264">
        <v>1.1405000000000001</v>
      </c>
      <c r="C264" s="13">
        <v>0</v>
      </c>
    </row>
    <row r="265" spans="1:3" x14ac:dyDescent="0.25">
      <c r="A265" t="s">
        <v>711</v>
      </c>
      <c r="B265">
        <v>8.1015969999999999</v>
      </c>
      <c r="C265" s="13">
        <v>0</v>
      </c>
    </row>
    <row r="266" spans="1:3" x14ac:dyDescent="0.25">
      <c r="A266" t="s">
        <v>712</v>
      </c>
      <c r="B266">
        <v>9.8772900000000003</v>
      </c>
      <c r="C266" s="13">
        <v>1.407438</v>
      </c>
    </row>
    <row r="267" spans="1:3" x14ac:dyDescent="0.25">
      <c r="A267" t="s">
        <v>713</v>
      </c>
      <c r="B267">
        <v>4.2172700000000001</v>
      </c>
      <c r="C267" s="13">
        <v>-0.85635229999999996</v>
      </c>
    </row>
    <row r="268" spans="1:3" x14ac:dyDescent="0.25">
      <c r="A268" t="s">
        <v>714</v>
      </c>
      <c r="B268">
        <v>4.1062890000000003</v>
      </c>
      <c r="C268" s="13">
        <v>0.58511500000000005</v>
      </c>
    </row>
    <row r="269" spans="1:3" x14ac:dyDescent="0.25">
      <c r="A269" t="s">
        <v>715</v>
      </c>
      <c r="B269">
        <v>2.6635390000000001</v>
      </c>
      <c r="C269" s="13">
        <v>0.96673569999999998</v>
      </c>
    </row>
    <row r="270" spans="1:3" x14ac:dyDescent="0.25">
      <c r="A270" t="s">
        <v>716</v>
      </c>
      <c r="B270">
        <v>2.7745190000000002</v>
      </c>
      <c r="C270" s="13">
        <v>1.18194</v>
      </c>
    </row>
    <row r="271" spans="1:3" x14ac:dyDescent="0.25">
      <c r="A271" t="s">
        <v>717</v>
      </c>
      <c r="B271">
        <v>0</v>
      </c>
      <c r="C271" s="13">
        <v>0</v>
      </c>
    </row>
    <row r="272" spans="1:3" x14ac:dyDescent="0.25">
      <c r="A272" t="s">
        <v>718</v>
      </c>
      <c r="B272">
        <v>11.47809</v>
      </c>
      <c r="C272" s="13">
        <v>0</v>
      </c>
    </row>
    <row r="273" spans="1:3" x14ac:dyDescent="0.25">
      <c r="A273" t="s">
        <v>245</v>
      </c>
      <c r="B273">
        <v>2.5938629999999998</v>
      </c>
      <c r="C273" s="13">
        <v>0</v>
      </c>
    </row>
    <row r="274" spans="1:3" x14ac:dyDescent="0.25">
      <c r="A274" t="s">
        <v>248</v>
      </c>
      <c r="B274">
        <v>9.2587899999999994</v>
      </c>
      <c r="C274" s="13">
        <v>3.0432169999999998</v>
      </c>
    </row>
    <row r="275" spans="1:3" x14ac:dyDescent="0.25">
      <c r="A275" t="s">
        <v>249</v>
      </c>
      <c r="B275">
        <v>9.1595779999999998</v>
      </c>
      <c r="C275" s="13">
        <v>2.295607</v>
      </c>
    </row>
    <row r="276" spans="1:3" x14ac:dyDescent="0.25">
      <c r="A276" t="s">
        <v>719</v>
      </c>
      <c r="B276">
        <v>8.6732289999999992</v>
      </c>
      <c r="C276" s="13">
        <v>5.1463900000000002</v>
      </c>
    </row>
    <row r="277" spans="1:3" x14ac:dyDescent="0.25">
      <c r="A277" t="s">
        <v>720</v>
      </c>
      <c r="B277">
        <v>5.106668</v>
      </c>
      <c r="C277" s="13">
        <v>0</v>
      </c>
    </row>
    <row r="278" spans="1:3" x14ac:dyDescent="0.25">
      <c r="A278" t="s">
        <v>721</v>
      </c>
      <c r="B278">
        <v>11.104979999999999</v>
      </c>
      <c r="C278" s="13">
        <v>4.0305679999999997</v>
      </c>
    </row>
    <row r="279" spans="1:3" x14ac:dyDescent="0.25">
      <c r="A279" t="s">
        <v>722</v>
      </c>
      <c r="B279">
        <v>0</v>
      </c>
      <c r="C279" s="13">
        <v>0</v>
      </c>
    </row>
    <row r="280" spans="1:3" x14ac:dyDescent="0.25">
      <c r="A280" t="s">
        <v>723</v>
      </c>
      <c r="B280">
        <v>1.683716</v>
      </c>
      <c r="C280" s="13">
        <v>20.978999999999999</v>
      </c>
    </row>
    <row r="281" spans="1:3" x14ac:dyDescent="0.25">
      <c r="A281" t="s">
        <v>250</v>
      </c>
      <c r="B281">
        <v>11.72461</v>
      </c>
      <c r="C281" s="13">
        <v>0</v>
      </c>
    </row>
    <row r="282" spans="1:3" x14ac:dyDescent="0.25">
      <c r="A282" t="s">
        <v>724</v>
      </c>
      <c r="B282">
        <v>9.2597769999999997</v>
      </c>
      <c r="C282" s="13">
        <v>-1.88028</v>
      </c>
    </row>
    <row r="283" spans="1:3" x14ac:dyDescent="0.25">
      <c r="A283" t="s">
        <v>251</v>
      </c>
      <c r="B283">
        <v>17.985589999999998</v>
      </c>
      <c r="C283" s="13">
        <v>0</v>
      </c>
    </row>
    <row r="284" spans="1:3" x14ac:dyDescent="0.25">
      <c r="A284" t="s">
        <v>725</v>
      </c>
      <c r="B284">
        <v>3.0200000000000001E-2</v>
      </c>
      <c r="C284" s="13">
        <v>4.3032699999999997E-3</v>
      </c>
    </row>
    <row r="285" spans="1:3" x14ac:dyDescent="0.25">
      <c r="A285" t="s">
        <v>726</v>
      </c>
      <c r="B285">
        <v>21.411049999999999</v>
      </c>
      <c r="C285" s="13">
        <v>7.0374730000000003</v>
      </c>
    </row>
    <row r="286" spans="1:3" x14ac:dyDescent="0.25">
      <c r="A286" t="s">
        <v>259</v>
      </c>
      <c r="B286">
        <v>27.26118</v>
      </c>
      <c r="C286" s="13">
        <v>4.710121</v>
      </c>
    </row>
    <row r="287" spans="1:3" x14ac:dyDescent="0.25">
      <c r="A287" t="s">
        <v>727</v>
      </c>
      <c r="B287">
        <v>13.234680000000001</v>
      </c>
      <c r="C287" s="13">
        <v>2.6874120000000001</v>
      </c>
    </row>
    <row r="288" spans="1:3" x14ac:dyDescent="0.25">
      <c r="A288" t="s">
        <v>728</v>
      </c>
      <c r="B288">
        <v>12</v>
      </c>
      <c r="C288" s="13">
        <v>2.4367049999999999</v>
      </c>
    </row>
    <row r="289" spans="1:3" x14ac:dyDescent="0.25">
      <c r="A289" t="s">
        <v>729</v>
      </c>
      <c r="B289">
        <v>0</v>
      </c>
      <c r="C289" s="13">
        <v>0</v>
      </c>
    </row>
    <row r="290" spans="1:3" x14ac:dyDescent="0.25">
      <c r="A290" t="s">
        <v>730</v>
      </c>
      <c r="B290">
        <v>3.8242750000000001</v>
      </c>
      <c r="C290" s="13">
        <v>1.2569779999999999</v>
      </c>
    </row>
    <row r="291" spans="1:3" x14ac:dyDescent="0.25">
      <c r="A291" t="s">
        <v>731</v>
      </c>
      <c r="B291">
        <v>8.056737</v>
      </c>
      <c r="C291" s="13">
        <v>3.4321549999999998</v>
      </c>
    </row>
    <row r="292" spans="1:3" x14ac:dyDescent="0.25">
      <c r="A292" t="s">
        <v>261</v>
      </c>
      <c r="B292">
        <v>2.1134149999999998</v>
      </c>
      <c r="C292" s="13">
        <v>2.5373359999999998</v>
      </c>
    </row>
    <row r="293" spans="1:3" x14ac:dyDescent="0.25">
      <c r="A293" t="s">
        <v>403</v>
      </c>
      <c r="B293">
        <v>4.6293850000000001</v>
      </c>
      <c r="C293" s="13">
        <v>-4.5915790000000003</v>
      </c>
    </row>
    <row r="294" spans="1:3" x14ac:dyDescent="0.25">
      <c r="A294" t="s">
        <v>732</v>
      </c>
      <c r="B294">
        <v>1.4089430000000001</v>
      </c>
      <c r="C294" s="13">
        <v>0.28609780000000001</v>
      </c>
    </row>
    <row r="295" spans="1:3" x14ac:dyDescent="0.25">
      <c r="A295" t="s">
        <v>733</v>
      </c>
      <c r="B295">
        <v>0.4025553</v>
      </c>
      <c r="C295" s="13">
        <v>0.2062351</v>
      </c>
    </row>
    <row r="296" spans="1:3" x14ac:dyDescent="0.25">
      <c r="A296" t="s">
        <v>734</v>
      </c>
      <c r="B296">
        <v>0</v>
      </c>
      <c r="C296" s="13">
        <v>0</v>
      </c>
    </row>
    <row r="297" spans="1:3" x14ac:dyDescent="0.25">
      <c r="A297" t="s">
        <v>735</v>
      </c>
      <c r="B297">
        <v>2.1</v>
      </c>
      <c r="C297" s="13">
        <v>2.5212300000000001</v>
      </c>
    </row>
    <row r="298" spans="1:3" x14ac:dyDescent="0.25">
      <c r="A298" t="s">
        <v>736</v>
      </c>
      <c r="B298">
        <v>0.80511049999999995</v>
      </c>
      <c r="C298" s="13">
        <v>0.49896259999999998</v>
      </c>
    </row>
    <row r="299" spans="1:3" x14ac:dyDescent="0.25">
      <c r="A299" t="s">
        <v>737</v>
      </c>
      <c r="B299">
        <v>4.4794299999999998</v>
      </c>
      <c r="C299" s="13">
        <v>-0.63828359999999995</v>
      </c>
    </row>
    <row r="300" spans="1:3" x14ac:dyDescent="0.25">
      <c r="A300" t="s">
        <v>738</v>
      </c>
      <c r="B300">
        <v>3.4500660000000001</v>
      </c>
      <c r="C300" s="13">
        <v>1.0062690000000001</v>
      </c>
    </row>
    <row r="301" spans="1:3" x14ac:dyDescent="0.25">
      <c r="A301" t="s">
        <v>263</v>
      </c>
      <c r="B301">
        <v>11.27155</v>
      </c>
      <c r="C301" s="13">
        <v>4.4548019999999999</v>
      </c>
    </row>
    <row r="302" spans="1:3" x14ac:dyDescent="0.25">
      <c r="A302" t="s">
        <v>739</v>
      </c>
      <c r="B302">
        <v>6.1389680000000002</v>
      </c>
      <c r="C302" s="13">
        <v>1.24657</v>
      </c>
    </row>
    <row r="303" spans="1:3" x14ac:dyDescent="0.25">
      <c r="A303" t="s">
        <v>740</v>
      </c>
      <c r="B303">
        <v>0.32423289999999999</v>
      </c>
      <c r="C303" s="13">
        <v>-8.1260470000000001E-2</v>
      </c>
    </row>
    <row r="304" spans="1:3" x14ac:dyDescent="0.25">
      <c r="A304" t="s">
        <v>741</v>
      </c>
      <c r="B304">
        <v>14.104520000000001</v>
      </c>
      <c r="C304" s="13">
        <v>5.1192549999999999</v>
      </c>
    </row>
    <row r="305" spans="1:3" x14ac:dyDescent="0.25">
      <c r="A305" t="s">
        <v>742</v>
      </c>
      <c r="B305">
        <v>1.6287290000000001</v>
      </c>
      <c r="C305" s="13">
        <v>1.13686</v>
      </c>
    </row>
    <row r="306" spans="1:3" x14ac:dyDescent="0.25">
      <c r="A306" t="s">
        <v>266</v>
      </c>
      <c r="B306">
        <v>0</v>
      </c>
      <c r="C306" s="13">
        <v>0</v>
      </c>
    </row>
    <row r="307" spans="1:3" x14ac:dyDescent="0.25">
      <c r="A307" t="s">
        <v>268</v>
      </c>
      <c r="B307">
        <v>6.005795</v>
      </c>
      <c r="C307" s="13">
        <v>0.85578080000000001</v>
      </c>
    </row>
    <row r="308" spans="1:3" x14ac:dyDescent="0.25">
      <c r="A308" t="s">
        <v>743</v>
      </c>
      <c r="B308">
        <v>0</v>
      </c>
      <c r="C308" s="13">
        <v>0</v>
      </c>
    </row>
    <row r="309" spans="1:3" x14ac:dyDescent="0.25">
      <c r="A309" t="s">
        <v>744</v>
      </c>
      <c r="B309">
        <v>3.310988</v>
      </c>
      <c r="C309" s="13">
        <v>-1.9646250000000001</v>
      </c>
    </row>
    <row r="310" spans="1:3" x14ac:dyDescent="0.25">
      <c r="A310" t="s">
        <v>745</v>
      </c>
      <c r="B310">
        <v>0</v>
      </c>
      <c r="C310" s="13">
        <v>0</v>
      </c>
    </row>
    <row r="311" spans="1:3" x14ac:dyDescent="0.25">
      <c r="A311" t="s">
        <v>746</v>
      </c>
      <c r="B311">
        <v>8.105822E-2</v>
      </c>
      <c r="C311" s="13">
        <v>-8.0396239999999994E-2</v>
      </c>
    </row>
    <row r="312" spans="1:3" x14ac:dyDescent="0.25">
      <c r="A312" t="s">
        <v>747</v>
      </c>
      <c r="B312">
        <v>56.78716</v>
      </c>
      <c r="C312" s="13">
        <v>24.191230000000001</v>
      </c>
    </row>
    <row r="313" spans="1:3" x14ac:dyDescent="0.25">
      <c r="A313" t="s">
        <v>748</v>
      </c>
      <c r="B313">
        <v>57.552489999999999</v>
      </c>
      <c r="C313" s="13">
        <v>24.517250000000001</v>
      </c>
    </row>
    <row r="314" spans="1:3" x14ac:dyDescent="0.25">
      <c r="A314" t="s">
        <v>749</v>
      </c>
      <c r="B314">
        <v>31.39931</v>
      </c>
      <c r="C314" s="13">
        <v>23.549479999999999</v>
      </c>
    </row>
    <row r="315" spans="1:3" x14ac:dyDescent="0.25">
      <c r="A315" t="s">
        <v>750</v>
      </c>
      <c r="B315">
        <v>0</v>
      </c>
      <c r="C315" s="13">
        <v>0</v>
      </c>
    </row>
    <row r="316" spans="1:3" x14ac:dyDescent="0.25">
      <c r="A316" t="s">
        <v>751</v>
      </c>
      <c r="B316">
        <v>1.001393</v>
      </c>
      <c r="C316" s="13">
        <v>0.45624809999999999</v>
      </c>
    </row>
    <row r="317" spans="1:3" x14ac:dyDescent="0.25">
      <c r="A317" t="s">
        <v>752</v>
      </c>
      <c r="B317">
        <v>9.0500340000000001</v>
      </c>
      <c r="C317" s="13">
        <v>1.2895650000000001</v>
      </c>
    </row>
    <row r="318" spans="1:3" x14ac:dyDescent="0.25">
      <c r="A318" t="s">
        <v>753</v>
      </c>
      <c r="B318">
        <v>0.1103663</v>
      </c>
      <c r="C318" s="13">
        <v>0.21902269999999999</v>
      </c>
    </row>
    <row r="319" spans="1:3" x14ac:dyDescent="0.25">
      <c r="A319" t="s">
        <v>754</v>
      </c>
      <c r="B319">
        <v>18.753440000000001</v>
      </c>
      <c r="C319" s="13">
        <v>0</v>
      </c>
    </row>
    <row r="320" spans="1:3" x14ac:dyDescent="0.25">
      <c r="A320" t="s">
        <v>755</v>
      </c>
      <c r="B320">
        <v>4.2167500000000002</v>
      </c>
      <c r="C320" s="13">
        <v>-2.042265</v>
      </c>
    </row>
    <row r="321" spans="1:3" x14ac:dyDescent="0.25">
      <c r="A321" t="s">
        <v>281</v>
      </c>
      <c r="B321">
        <v>0</v>
      </c>
      <c r="C321" s="13">
        <v>0</v>
      </c>
    </row>
    <row r="322" spans="1:3" x14ac:dyDescent="0.25">
      <c r="A322" t="s">
        <v>756</v>
      </c>
      <c r="B322">
        <v>0.66134210000000004</v>
      </c>
      <c r="C322" s="13">
        <v>-0.30131639999999998</v>
      </c>
    </row>
    <row r="323" spans="1:3" x14ac:dyDescent="0.25">
      <c r="A323" t="s">
        <v>757</v>
      </c>
      <c r="B323">
        <v>5.3093130000000004</v>
      </c>
      <c r="C323" s="13">
        <v>4.5403219999999997</v>
      </c>
    </row>
    <row r="324" spans="1:3" x14ac:dyDescent="0.25">
      <c r="A324" t="s">
        <v>758</v>
      </c>
      <c r="B324">
        <v>5.3093130000000004</v>
      </c>
      <c r="C324" s="13">
        <v>4.5403219999999997</v>
      </c>
    </row>
    <row r="325" spans="1:3" x14ac:dyDescent="0.25">
      <c r="A325" t="s">
        <v>282</v>
      </c>
      <c r="B325">
        <v>17.913869999999999</v>
      </c>
      <c r="C325" s="13">
        <v>5.2248840000000003</v>
      </c>
    </row>
    <row r="326" spans="1:3" x14ac:dyDescent="0.25">
      <c r="A326" t="s">
        <v>759</v>
      </c>
      <c r="B326">
        <v>12.888260000000001</v>
      </c>
      <c r="C326" s="13">
        <v>4.6778149999999998</v>
      </c>
    </row>
    <row r="327" spans="1:3" x14ac:dyDescent="0.25">
      <c r="A327" t="s">
        <v>760</v>
      </c>
      <c r="B327">
        <v>31</v>
      </c>
      <c r="C327" s="13">
        <v>0</v>
      </c>
    </row>
    <row r="328" spans="1:3" x14ac:dyDescent="0.25">
      <c r="A328" t="s">
        <v>283</v>
      </c>
      <c r="B328">
        <v>6.2281750000000002</v>
      </c>
      <c r="C328" s="13">
        <v>3.0164430000000002</v>
      </c>
    </row>
    <row r="329" spans="1:3" x14ac:dyDescent="0.25">
      <c r="A329" t="s">
        <v>761</v>
      </c>
      <c r="B329">
        <v>2.0127760000000001</v>
      </c>
      <c r="C329" s="13">
        <v>0</v>
      </c>
    </row>
    <row r="330" spans="1:3" x14ac:dyDescent="0.25">
      <c r="A330" t="s">
        <v>411</v>
      </c>
      <c r="B330">
        <v>10.26516</v>
      </c>
      <c r="C330" s="13">
        <v>4.971641</v>
      </c>
    </row>
    <row r="331" spans="1:3" x14ac:dyDescent="0.25">
      <c r="A331" t="s">
        <v>762</v>
      </c>
      <c r="B331">
        <v>10.26516</v>
      </c>
      <c r="C331" s="13">
        <v>4.971641</v>
      </c>
    </row>
    <row r="332" spans="1:3" x14ac:dyDescent="0.25">
      <c r="A332" t="s">
        <v>763</v>
      </c>
      <c r="B332">
        <v>0</v>
      </c>
      <c r="C332" s="13">
        <v>0</v>
      </c>
    </row>
    <row r="333" spans="1:3" x14ac:dyDescent="0.25">
      <c r="A333" t="s">
        <v>412</v>
      </c>
      <c r="B333">
        <v>10.09801</v>
      </c>
      <c r="C333" s="13">
        <v>4.6007879999999997</v>
      </c>
    </row>
    <row r="334" spans="1:3" x14ac:dyDescent="0.25">
      <c r="A334" t="s">
        <v>764</v>
      </c>
      <c r="B334">
        <v>3.4399799999999998</v>
      </c>
      <c r="C334" s="13">
        <v>1.003328</v>
      </c>
    </row>
    <row r="335" spans="1:3" x14ac:dyDescent="0.25">
      <c r="A335" t="s">
        <v>285</v>
      </c>
      <c r="B335">
        <v>3.530249</v>
      </c>
      <c r="C335" s="13">
        <v>0.50303299999999995</v>
      </c>
    </row>
    <row r="336" spans="1:3" x14ac:dyDescent="0.25">
      <c r="A336" t="s">
        <v>765</v>
      </c>
      <c r="B336">
        <v>3.530249</v>
      </c>
      <c r="C336" s="13">
        <v>0.50303299999999995</v>
      </c>
    </row>
    <row r="337" spans="1:3" x14ac:dyDescent="0.25">
      <c r="A337" t="s">
        <v>286</v>
      </c>
      <c r="B337">
        <v>7.8050680000000003</v>
      </c>
      <c r="C337" s="13">
        <v>0</v>
      </c>
    </row>
    <row r="338" spans="1:3" x14ac:dyDescent="0.25">
      <c r="A338" t="s">
        <v>766</v>
      </c>
      <c r="B338">
        <v>0</v>
      </c>
      <c r="C338" s="13">
        <v>0</v>
      </c>
    </row>
    <row r="339" spans="1:3" x14ac:dyDescent="0.25">
      <c r="A339" t="s">
        <v>767</v>
      </c>
      <c r="B339">
        <v>0</v>
      </c>
      <c r="C339" s="13">
        <v>0</v>
      </c>
    </row>
    <row r="340" spans="1:3" x14ac:dyDescent="0.25">
      <c r="A340" t="s">
        <v>768</v>
      </c>
      <c r="B340">
        <v>6.9</v>
      </c>
      <c r="C340" s="13">
        <v>3.5349750000000002</v>
      </c>
    </row>
    <row r="341" spans="1:3" x14ac:dyDescent="0.25">
      <c r="A341" t="s">
        <v>769</v>
      </c>
      <c r="B341">
        <v>3.090255</v>
      </c>
      <c r="C341" s="13">
        <v>2.8931870000000002</v>
      </c>
    </row>
    <row r="342" spans="1:3" x14ac:dyDescent="0.25">
      <c r="A342" t="s">
        <v>770</v>
      </c>
      <c r="B342">
        <v>3.090255</v>
      </c>
      <c r="C342" s="13">
        <v>2.8931870000000002</v>
      </c>
    </row>
    <row r="343" spans="1:3" x14ac:dyDescent="0.25">
      <c r="A343" t="s">
        <v>771</v>
      </c>
      <c r="B343">
        <v>1.8762270000000001</v>
      </c>
      <c r="C343" s="13">
        <v>2.1935519999999999</v>
      </c>
    </row>
    <row r="344" spans="1:3" x14ac:dyDescent="0.25">
      <c r="A344" t="s">
        <v>772</v>
      </c>
      <c r="B344">
        <v>0.99329639999999997</v>
      </c>
      <c r="C344" s="13">
        <v>2.7474150000000002</v>
      </c>
    </row>
    <row r="345" spans="1:3" x14ac:dyDescent="0.25">
      <c r="A345" t="s">
        <v>773</v>
      </c>
      <c r="B345">
        <v>6.1032539999999997</v>
      </c>
      <c r="C345" s="13">
        <v>5.7140440000000003</v>
      </c>
    </row>
    <row r="346" spans="1:3" x14ac:dyDescent="0.25">
      <c r="A346" t="s">
        <v>287</v>
      </c>
      <c r="B346">
        <v>1.2076659999999999</v>
      </c>
      <c r="C346" s="13">
        <v>-1.0976809999999999</v>
      </c>
    </row>
    <row r="347" spans="1:3" x14ac:dyDescent="0.25">
      <c r="A347" t="s">
        <v>774</v>
      </c>
      <c r="B347">
        <v>1.811499</v>
      </c>
      <c r="C347" s="13">
        <v>-1.5975919999999999</v>
      </c>
    </row>
    <row r="348" spans="1:3" x14ac:dyDescent="0.25">
      <c r="A348" t="s">
        <v>775</v>
      </c>
      <c r="B348">
        <v>0.2012776</v>
      </c>
      <c r="C348" s="13">
        <v>0</v>
      </c>
    </row>
    <row r="349" spans="1:3" x14ac:dyDescent="0.25">
      <c r="A349" t="s">
        <v>776</v>
      </c>
      <c r="B349">
        <v>0.2012776</v>
      </c>
      <c r="C349" s="13">
        <v>0</v>
      </c>
    </row>
    <row r="350" spans="1:3" x14ac:dyDescent="0.25">
      <c r="A350" t="s">
        <v>777</v>
      </c>
      <c r="B350">
        <v>8.1517440000000008</v>
      </c>
      <c r="C350" s="13">
        <v>4.8369609999999996</v>
      </c>
    </row>
    <row r="351" spans="1:3" x14ac:dyDescent="0.25">
      <c r="A351" t="s">
        <v>778</v>
      </c>
      <c r="B351">
        <v>7.3466329999999997</v>
      </c>
      <c r="C351" s="13">
        <v>-2.4147210000000001</v>
      </c>
    </row>
    <row r="352" spans="1:3" x14ac:dyDescent="0.25">
      <c r="A352" t="s">
        <v>779</v>
      </c>
      <c r="B352">
        <v>9.5243409999999997</v>
      </c>
      <c r="C352" s="13">
        <v>3.1304979999999998</v>
      </c>
    </row>
    <row r="353" spans="1:3" x14ac:dyDescent="0.25">
      <c r="A353" t="s">
        <v>780</v>
      </c>
      <c r="B353">
        <v>6.3399999999999998E-2</v>
      </c>
      <c r="C353" s="13">
        <v>1.2873920000000001E-2</v>
      </c>
    </row>
    <row r="354" spans="1:3" x14ac:dyDescent="0.25">
      <c r="A354" t="s">
        <v>781</v>
      </c>
      <c r="B354">
        <v>0</v>
      </c>
      <c r="C354" s="13">
        <v>0</v>
      </c>
    </row>
    <row r="355" spans="1:3" x14ac:dyDescent="0.25">
      <c r="A355" t="s">
        <v>782</v>
      </c>
      <c r="B355">
        <v>0</v>
      </c>
      <c r="C355" s="13">
        <v>0</v>
      </c>
    </row>
    <row r="356" spans="1:3" x14ac:dyDescent="0.25">
      <c r="A356" t="s">
        <v>783</v>
      </c>
      <c r="B356">
        <v>0</v>
      </c>
      <c r="C356" s="13">
        <v>0</v>
      </c>
    </row>
    <row r="357" spans="1:3" x14ac:dyDescent="0.25">
      <c r="A357" t="s">
        <v>784</v>
      </c>
      <c r="B357">
        <v>9.5606869999999997</v>
      </c>
      <c r="C357" s="13">
        <v>0</v>
      </c>
    </row>
    <row r="358" spans="1:3" x14ac:dyDescent="0.25">
      <c r="A358" t="s">
        <v>785</v>
      </c>
      <c r="B358">
        <v>0</v>
      </c>
      <c r="C358" s="13">
        <v>0</v>
      </c>
    </row>
    <row r="359" spans="1:3" x14ac:dyDescent="0.25">
      <c r="A359" t="s">
        <v>786</v>
      </c>
      <c r="B359">
        <v>1.5100000000000001E-2</v>
      </c>
      <c r="C359" s="13">
        <v>3.0661799999999999E-3</v>
      </c>
    </row>
    <row r="360" spans="1:3" x14ac:dyDescent="0.25">
      <c r="A360" t="s">
        <v>787</v>
      </c>
      <c r="B360">
        <v>5.2620459999999998</v>
      </c>
      <c r="C360" s="13">
        <v>1.534764</v>
      </c>
    </row>
    <row r="361" spans="1:3" x14ac:dyDescent="0.25">
      <c r="A361" t="s">
        <v>788</v>
      </c>
      <c r="B361">
        <v>6.7278320000000003</v>
      </c>
      <c r="C361" s="13">
        <v>3.2584369999999998</v>
      </c>
    </row>
    <row r="362" spans="1:3" x14ac:dyDescent="0.25">
      <c r="A362" t="s">
        <v>288</v>
      </c>
      <c r="B362">
        <v>6.1805110000000001</v>
      </c>
      <c r="C362" s="13">
        <v>0.88067530000000005</v>
      </c>
    </row>
    <row r="363" spans="1:3" x14ac:dyDescent="0.25">
      <c r="A363" t="s">
        <v>789</v>
      </c>
      <c r="B363">
        <v>1.809871</v>
      </c>
      <c r="C363" s="13">
        <v>0.59487570000000001</v>
      </c>
    </row>
    <row r="364" spans="1:3" x14ac:dyDescent="0.25">
      <c r="A364" t="s">
        <v>790</v>
      </c>
      <c r="B364">
        <v>0</v>
      </c>
      <c r="C364" s="13">
        <v>0</v>
      </c>
    </row>
    <row r="365" spans="1:3" x14ac:dyDescent="0.25">
      <c r="A365" t="s">
        <v>289</v>
      </c>
      <c r="B365">
        <v>11.085459999999999</v>
      </c>
      <c r="C365" s="13">
        <v>2.2509969999999999</v>
      </c>
    </row>
    <row r="366" spans="1:3" x14ac:dyDescent="0.25">
      <c r="A366" t="s">
        <v>791</v>
      </c>
      <c r="B366">
        <v>10.13528</v>
      </c>
      <c r="C366" s="13">
        <v>2.5401389999999999</v>
      </c>
    </row>
    <row r="367" spans="1:3" x14ac:dyDescent="0.25">
      <c r="A367" t="s">
        <v>321</v>
      </c>
      <c r="B367">
        <v>11.036630000000001</v>
      </c>
      <c r="C367" s="13">
        <v>0</v>
      </c>
    </row>
    <row r="368" spans="1:3" x14ac:dyDescent="0.25">
      <c r="A368" t="s">
        <v>792</v>
      </c>
      <c r="B368">
        <v>0</v>
      </c>
      <c r="C368" s="13">
        <v>0</v>
      </c>
    </row>
    <row r="369" spans="1:3" x14ac:dyDescent="0.25">
      <c r="A369" t="s">
        <v>291</v>
      </c>
      <c r="B369">
        <v>4.98508</v>
      </c>
      <c r="C369" s="13">
        <v>0.71033630000000003</v>
      </c>
    </row>
    <row r="370" spans="1:3" x14ac:dyDescent="0.25">
      <c r="A370" t="s">
        <v>793</v>
      </c>
      <c r="B370">
        <v>3.9718529999999999</v>
      </c>
      <c r="C370" s="13">
        <v>0.99544010000000005</v>
      </c>
    </row>
    <row r="371" spans="1:3" x14ac:dyDescent="0.25">
      <c r="A371" t="s">
        <v>292</v>
      </c>
      <c r="B371">
        <v>3.862819</v>
      </c>
      <c r="C371" s="13">
        <v>0.96811290000000005</v>
      </c>
    </row>
    <row r="372" spans="1:3" x14ac:dyDescent="0.25">
      <c r="A372" t="s">
        <v>293</v>
      </c>
      <c r="B372">
        <v>0</v>
      </c>
      <c r="C372" s="13">
        <v>0</v>
      </c>
    </row>
    <row r="373" spans="1:3" x14ac:dyDescent="0.25">
      <c r="A373" t="s">
        <v>794</v>
      </c>
      <c r="B373">
        <v>0</v>
      </c>
      <c r="C373" s="13">
        <v>0</v>
      </c>
    </row>
    <row r="374" spans="1:3" x14ac:dyDescent="0.25">
      <c r="A374" t="s">
        <v>795</v>
      </c>
      <c r="B374">
        <v>3.090408</v>
      </c>
      <c r="C374" s="13">
        <v>4.9446399999999997</v>
      </c>
    </row>
    <row r="375" spans="1:3" x14ac:dyDescent="0.25">
      <c r="A375" t="s">
        <v>796</v>
      </c>
      <c r="B375">
        <v>0</v>
      </c>
      <c r="C375" s="13">
        <v>0</v>
      </c>
    </row>
    <row r="376" spans="1:3" x14ac:dyDescent="0.25">
      <c r="A376" t="s">
        <v>797</v>
      </c>
      <c r="B376">
        <v>5.4296119999999997</v>
      </c>
      <c r="C376" s="13">
        <v>0</v>
      </c>
    </row>
    <row r="377" spans="1:3" x14ac:dyDescent="0.25">
      <c r="A377" t="s">
        <v>798</v>
      </c>
      <c r="B377">
        <v>3.1672739999999999</v>
      </c>
      <c r="C377" s="13">
        <v>2.1284209999999999</v>
      </c>
    </row>
    <row r="378" spans="1:3" x14ac:dyDescent="0.25">
      <c r="A378" t="s">
        <v>799</v>
      </c>
      <c r="B378">
        <v>6.5607810000000004</v>
      </c>
      <c r="C378" s="13">
        <v>0.93485960000000001</v>
      </c>
    </row>
    <row r="379" spans="1:3" x14ac:dyDescent="0.25">
      <c r="A379" t="s">
        <v>255</v>
      </c>
      <c r="B379">
        <v>17.913709999999998</v>
      </c>
      <c r="C379" s="13">
        <v>3.6375310000000001</v>
      </c>
    </row>
    <row r="380" spans="1:3" x14ac:dyDescent="0.25">
      <c r="A380" t="s">
        <v>295</v>
      </c>
      <c r="B380">
        <v>9.162471</v>
      </c>
      <c r="C380" s="13">
        <v>0</v>
      </c>
    </row>
    <row r="381" spans="1:3" x14ac:dyDescent="0.25">
      <c r="A381" t="s">
        <v>800</v>
      </c>
      <c r="B381">
        <v>9.162471</v>
      </c>
      <c r="C381" s="13">
        <v>0</v>
      </c>
    </row>
    <row r="382" spans="1:3" x14ac:dyDescent="0.25">
      <c r="A382" t="s">
        <v>801</v>
      </c>
      <c r="B382">
        <v>4.0283680000000004</v>
      </c>
      <c r="C382" s="13">
        <v>1.951028</v>
      </c>
    </row>
    <row r="383" spans="1:3" x14ac:dyDescent="0.25">
      <c r="A383" t="s">
        <v>802</v>
      </c>
      <c r="B383">
        <v>4.0091780000000004</v>
      </c>
      <c r="C383" s="13">
        <v>1.7079029999999999</v>
      </c>
    </row>
    <row r="384" spans="1:3" x14ac:dyDescent="0.25">
      <c r="A384" t="s">
        <v>803</v>
      </c>
      <c r="B384">
        <v>2.1716380000000002</v>
      </c>
      <c r="C384" s="13">
        <v>0.78819939999999999</v>
      </c>
    </row>
    <row r="385" spans="1:3" x14ac:dyDescent="0.25">
      <c r="A385" t="s">
        <v>804</v>
      </c>
      <c r="B385">
        <v>3.5080309999999999</v>
      </c>
      <c r="C385" s="13">
        <v>1.386463</v>
      </c>
    </row>
    <row r="386" spans="1:3" x14ac:dyDescent="0.25">
      <c r="A386" t="s">
        <v>805</v>
      </c>
      <c r="B386">
        <v>2.1716380000000002</v>
      </c>
      <c r="C386" s="13">
        <v>0.78819939999999999</v>
      </c>
    </row>
    <row r="387" spans="1:3" x14ac:dyDescent="0.25">
      <c r="A387" t="s">
        <v>806</v>
      </c>
      <c r="B387">
        <v>0</v>
      </c>
      <c r="C387" s="13">
        <v>0</v>
      </c>
    </row>
    <row r="388" spans="1:3" x14ac:dyDescent="0.25">
      <c r="A388" t="s">
        <v>807</v>
      </c>
      <c r="B388">
        <v>0.75172099999999997</v>
      </c>
      <c r="C388" s="13">
        <v>0.66295559999999998</v>
      </c>
    </row>
    <row r="389" spans="1:3" x14ac:dyDescent="0.25">
      <c r="A389" t="s">
        <v>808</v>
      </c>
      <c r="B389">
        <v>14.94472</v>
      </c>
      <c r="C389" s="13">
        <v>3.034656</v>
      </c>
    </row>
    <row r="390" spans="1:3" x14ac:dyDescent="0.25">
      <c r="A390" t="s">
        <v>809</v>
      </c>
      <c r="B390">
        <v>1.9974080000000001</v>
      </c>
      <c r="C390" s="13">
        <v>-5.9136850000000001</v>
      </c>
    </row>
    <row r="391" spans="1:3" x14ac:dyDescent="0.25">
      <c r="A391" t="s">
        <v>810</v>
      </c>
      <c r="B391">
        <v>15.53539</v>
      </c>
      <c r="C391" s="13">
        <v>-4.531161</v>
      </c>
    </row>
    <row r="392" spans="1:3" x14ac:dyDescent="0.25">
      <c r="A392" t="s">
        <v>811</v>
      </c>
      <c r="B392">
        <v>45.496510000000001</v>
      </c>
      <c r="C392" s="13">
        <v>13.269830000000001</v>
      </c>
    </row>
    <row r="393" spans="1:3" x14ac:dyDescent="0.25">
      <c r="A393" t="s">
        <v>300</v>
      </c>
      <c r="B393">
        <v>1.9898469999999999</v>
      </c>
      <c r="C393" s="13">
        <v>-0.49870320000000001</v>
      </c>
    </row>
    <row r="394" spans="1:3" x14ac:dyDescent="0.25">
      <c r="A394" t="s">
        <v>302</v>
      </c>
      <c r="B394">
        <v>4.4115599999999997</v>
      </c>
      <c r="C394" s="13">
        <v>2.1366160000000001</v>
      </c>
    </row>
    <row r="395" spans="1:3" x14ac:dyDescent="0.25">
      <c r="A395" t="s">
        <v>812</v>
      </c>
      <c r="B395">
        <v>30.153829999999999</v>
      </c>
      <c r="C395" s="13">
        <v>13.738490000000001</v>
      </c>
    </row>
    <row r="396" spans="1:3" x14ac:dyDescent="0.25">
      <c r="A396" t="s">
        <v>813</v>
      </c>
      <c r="B396">
        <v>30.153829999999999</v>
      </c>
      <c r="C396" s="13">
        <v>13.738490000000001</v>
      </c>
    </row>
    <row r="397" spans="1:3" x14ac:dyDescent="0.25">
      <c r="A397" t="s">
        <v>814</v>
      </c>
      <c r="B397">
        <v>0</v>
      </c>
      <c r="C397" s="13">
        <v>0</v>
      </c>
    </row>
    <row r="398" spans="1:3" x14ac:dyDescent="0.25">
      <c r="A398" t="s">
        <v>815</v>
      </c>
      <c r="B398">
        <v>1.6102209999999999</v>
      </c>
      <c r="C398" s="13">
        <v>0.32696839999999999</v>
      </c>
    </row>
    <row r="399" spans="1:3" x14ac:dyDescent="0.25">
      <c r="A399" t="s">
        <v>304</v>
      </c>
      <c r="B399">
        <v>12.562480000000001</v>
      </c>
      <c r="C399" s="13">
        <v>0</v>
      </c>
    </row>
    <row r="400" spans="1:3" x14ac:dyDescent="0.25">
      <c r="A400" t="s">
        <v>816</v>
      </c>
      <c r="B400">
        <v>6.642773</v>
      </c>
      <c r="C400" s="13">
        <v>0</v>
      </c>
    </row>
    <row r="401" spans="1:3" x14ac:dyDescent="0.25">
      <c r="A401" t="s">
        <v>817</v>
      </c>
      <c r="B401">
        <v>1.0484800000000001</v>
      </c>
      <c r="C401" s="13">
        <v>0.2129027</v>
      </c>
    </row>
    <row r="402" spans="1:3" x14ac:dyDescent="0.25">
      <c r="A402" t="s">
        <v>818</v>
      </c>
      <c r="B402">
        <v>0</v>
      </c>
      <c r="C402" s="13">
        <v>0</v>
      </c>
    </row>
    <row r="403" spans="1:3" x14ac:dyDescent="0.25">
      <c r="A403" t="s">
        <v>819</v>
      </c>
      <c r="B403">
        <v>2.9586250000000001</v>
      </c>
      <c r="C403" s="13">
        <v>0.42157990000000001</v>
      </c>
    </row>
    <row r="404" spans="1:3" x14ac:dyDescent="0.25">
      <c r="A404" t="s">
        <v>820</v>
      </c>
      <c r="B404">
        <v>6.547059</v>
      </c>
      <c r="C404" s="13">
        <v>2.3762660000000002</v>
      </c>
    </row>
    <row r="405" spans="1:3" x14ac:dyDescent="0.25">
      <c r="A405" t="s">
        <v>821</v>
      </c>
      <c r="B405">
        <v>0.33290130000000001</v>
      </c>
      <c r="C405" s="13">
        <v>0.5614768</v>
      </c>
    </row>
    <row r="406" spans="1:3" x14ac:dyDescent="0.25">
      <c r="A406" t="s">
        <v>822</v>
      </c>
      <c r="B406">
        <v>4.1057799999999998E-3</v>
      </c>
      <c r="C406" s="13">
        <v>8.3370999999999998E-4</v>
      </c>
    </row>
    <row r="407" spans="1:3" x14ac:dyDescent="0.25">
      <c r="A407" t="s">
        <v>307</v>
      </c>
      <c r="B407">
        <v>1.655494</v>
      </c>
      <c r="C407" s="13">
        <v>0</v>
      </c>
    </row>
    <row r="408" spans="1:3" x14ac:dyDescent="0.25">
      <c r="A408" t="s">
        <v>823</v>
      </c>
      <c r="B408">
        <v>2.5</v>
      </c>
      <c r="C408" s="13">
        <v>0.82171019999999995</v>
      </c>
    </row>
    <row r="409" spans="1:3" x14ac:dyDescent="0.25">
      <c r="A409" t="s">
        <v>824</v>
      </c>
      <c r="B409">
        <v>0.1399</v>
      </c>
      <c r="C409" s="13">
        <v>4.0804229999999997E-2</v>
      </c>
    </row>
    <row r="410" spans="1:3" x14ac:dyDescent="0.25">
      <c r="A410" t="s">
        <v>825</v>
      </c>
      <c r="B410">
        <v>1.5869660000000001</v>
      </c>
      <c r="C410" s="13">
        <v>1.7583610000000001</v>
      </c>
    </row>
    <row r="411" spans="1:3" x14ac:dyDescent="0.25">
      <c r="A411" t="s">
        <v>826</v>
      </c>
      <c r="B411">
        <v>4.7509110000000003</v>
      </c>
      <c r="C411" s="13">
        <v>1.8776809999999999</v>
      </c>
    </row>
    <row r="412" spans="1:3" x14ac:dyDescent="0.25">
      <c r="A412" s="14" t="s">
        <v>310</v>
      </c>
      <c r="B412">
        <v>75.429659999999998</v>
      </c>
      <c r="C412" s="13">
        <v>0</v>
      </c>
    </row>
    <row r="413" spans="1:3" x14ac:dyDescent="0.25">
      <c r="A413" t="s">
        <v>827</v>
      </c>
      <c r="B413">
        <v>75.665009999999995</v>
      </c>
      <c r="C413" s="13">
        <v>0</v>
      </c>
    </row>
    <row r="414" spans="1:3" x14ac:dyDescent="0.25">
      <c r="A414" t="s">
        <v>828</v>
      </c>
      <c r="B414">
        <v>49.188139999999997</v>
      </c>
      <c r="C414" s="13">
        <v>0</v>
      </c>
    </row>
    <row r="415" spans="1:3" x14ac:dyDescent="0.25">
      <c r="A415" t="s">
        <v>829</v>
      </c>
      <c r="B415">
        <v>13.577249999999999</v>
      </c>
      <c r="C415" s="13">
        <v>13.851570000000001</v>
      </c>
    </row>
    <row r="416" spans="1:3" x14ac:dyDescent="0.25">
      <c r="A416" t="s">
        <v>830</v>
      </c>
      <c r="B416">
        <v>0</v>
      </c>
      <c r="C416" s="13">
        <v>0</v>
      </c>
    </row>
    <row r="417" spans="1:3" x14ac:dyDescent="0.25">
      <c r="A417" t="s">
        <v>831</v>
      </c>
      <c r="B417">
        <v>0</v>
      </c>
      <c r="C417" s="13">
        <v>0</v>
      </c>
    </row>
    <row r="418" spans="1:3" x14ac:dyDescent="0.25">
      <c r="A418" t="s">
        <v>832</v>
      </c>
      <c r="B418">
        <v>13.577249999999999</v>
      </c>
      <c r="C418" s="13">
        <v>13.851570000000001</v>
      </c>
    </row>
    <row r="419" spans="1:3" x14ac:dyDescent="0.25">
      <c r="A419" t="s">
        <v>833</v>
      </c>
      <c r="B419">
        <v>27.77129</v>
      </c>
      <c r="C419" s="13">
        <v>3.9571909999999999</v>
      </c>
    </row>
    <row r="420" spans="1:3" x14ac:dyDescent="0.25">
      <c r="A420" t="s">
        <v>834</v>
      </c>
      <c r="B420">
        <v>27.77129</v>
      </c>
      <c r="C420" s="13">
        <v>3.9571909999999999</v>
      </c>
    </row>
    <row r="421" spans="1:3" x14ac:dyDescent="0.25">
      <c r="A421" t="s">
        <v>835</v>
      </c>
      <c r="B421">
        <v>7.284173</v>
      </c>
      <c r="C421" s="13">
        <v>3.9315799999999999</v>
      </c>
    </row>
    <row r="422" spans="1:3" x14ac:dyDescent="0.25">
      <c r="A422" t="s">
        <v>836</v>
      </c>
      <c r="B422">
        <v>12.53928</v>
      </c>
      <c r="C422" s="13">
        <v>-2.5462069999999999</v>
      </c>
    </row>
    <row r="423" spans="1:3" x14ac:dyDescent="0.25">
      <c r="A423" t="s">
        <v>837</v>
      </c>
      <c r="B423">
        <v>6.5607810000000004</v>
      </c>
      <c r="C423" s="13">
        <v>-1.644285</v>
      </c>
    </row>
    <row r="424" spans="1:3" x14ac:dyDescent="0.25">
      <c r="A424" t="s">
        <v>430</v>
      </c>
      <c r="B424">
        <v>37.500959999999999</v>
      </c>
      <c r="C424" s="13">
        <v>0</v>
      </c>
    </row>
    <row r="425" spans="1:3" x14ac:dyDescent="0.25">
      <c r="A425" t="s">
        <v>838</v>
      </c>
      <c r="B425">
        <v>37.500959999999999</v>
      </c>
      <c r="C425" s="13">
        <v>0</v>
      </c>
    </row>
    <row r="426" spans="1:3" x14ac:dyDescent="0.25">
      <c r="A426" t="s">
        <v>839</v>
      </c>
      <c r="B426">
        <v>37.500959999999999</v>
      </c>
      <c r="C426" s="13">
        <v>0</v>
      </c>
    </row>
    <row r="427" spans="1:3" x14ac:dyDescent="0.25">
      <c r="A427" t="s">
        <v>840</v>
      </c>
      <c r="B427">
        <v>1.214029</v>
      </c>
      <c r="C427" s="13">
        <v>-0.55312779999999995</v>
      </c>
    </row>
    <row r="428" spans="1:3" x14ac:dyDescent="0.25">
      <c r="A428" t="s">
        <v>318</v>
      </c>
      <c r="B428">
        <v>9.6888480000000001</v>
      </c>
      <c r="C428" s="13">
        <v>0</v>
      </c>
    </row>
    <row r="429" spans="1:3" x14ac:dyDescent="0.25">
      <c r="A429" t="s">
        <v>841</v>
      </c>
      <c r="B429">
        <v>0</v>
      </c>
      <c r="C429" s="13">
        <v>0</v>
      </c>
    </row>
    <row r="430" spans="1:3" x14ac:dyDescent="0.25">
      <c r="A430" t="s">
        <v>319</v>
      </c>
      <c r="B430">
        <v>6.4476639999999996</v>
      </c>
      <c r="C430" s="13">
        <v>2.5482800000000001</v>
      </c>
    </row>
    <row r="431" spans="1:3" x14ac:dyDescent="0.25">
      <c r="A431" t="s">
        <v>842</v>
      </c>
      <c r="B431">
        <v>6.4476639999999996</v>
      </c>
      <c r="C431" s="13">
        <v>2.5482800000000001</v>
      </c>
    </row>
    <row r="432" spans="1:3" x14ac:dyDescent="0.25">
      <c r="A432" t="s">
        <v>320</v>
      </c>
      <c r="B432">
        <v>11.429209999999999</v>
      </c>
      <c r="C432" s="13">
        <v>9.7738230000000001</v>
      </c>
    </row>
    <row r="433" spans="1:3" x14ac:dyDescent="0.25">
      <c r="A433" t="s">
        <v>843</v>
      </c>
      <c r="B433">
        <v>8.7700779999999998</v>
      </c>
      <c r="C433" s="13">
        <v>2.557941</v>
      </c>
    </row>
    <row r="434" spans="1:3" x14ac:dyDescent="0.25">
      <c r="A434" t="s">
        <v>844</v>
      </c>
      <c r="B434">
        <v>0.4025553</v>
      </c>
      <c r="C434" s="13">
        <v>0</v>
      </c>
    </row>
    <row r="435" spans="1:3" x14ac:dyDescent="0.25">
      <c r="A435" t="s">
        <v>845</v>
      </c>
      <c r="B435">
        <v>21.637339999999998</v>
      </c>
      <c r="C435" s="13">
        <v>7.8533080000000002</v>
      </c>
    </row>
    <row r="436" spans="1:3" x14ac:dyDescent="0.25">
      <c r="A436" t="s">
        <v>846</v>
      </c>
      <c r="B436">
        <v>5.2953739999999998</v>
      </c>
      <c r="C436" s="13">
        <v>2.8581400000000001</v>
      </c>
    </row>
    <row r="437" spans="1:3" x14ac:dyDescent="0.25">
      <c r="A437" t="s">
        <v>847</v>
      </c>
      <c r="B437">
        <v>5.2953739999999998</v>
      </c>
      <c r="C437" s="13">
        <v>2.8581400000000001</v>
      </c>
    </row>
    <row r="438" spans="1:3" x14ac:dyDescent="0.25">
      <c r="A438" t="s">
        <v>848</v>
      </c>
      <c r="B438">
        <v>9.9699999999999997E-2</v>
      </c>
      <c r="C438" s="13">
        <v>1.420648E-2</v>
      </c>
    </row>
    <row r="439" spans="1:3" x14ac:dyDescent="0.25">
      <c r="A439" t="s">
        <v>325</v>
      </c>
      <c r="B439">
        <v>17.1999</v>
      </c>
      <c r="C439" s="13">
        <v>0</v>
      </c>
    </row>
    <row r="440" spans="1:3" x14ac:dyDescent="0.25">
      <c r="A440" t="s">
        <v>849</v>
      </c>
      <c r="B440">
        <v>12.428319999999999</v>
      </c>
      <c r="C440" s="13">
        <v>-1.7709410000000001</v>
      </c>
    </row>
    <row r="441" spans="1:3" x14ac:dyDescent="0.25">
      <c r="A441" t="s">
        <v>850</v>
      </c>
      <c r="B441">
        <v>0.33290130000000001</v>
      </c>
      <c r="C441" s="13">
        <v>0.33018259999999999</v>
      </c>
    </row>
    <row r="442" spans="1:3" x14ac:dyDescent="0.25">
      <c r="A442" t="s">
        <v>851</v>
      </c>
      <c r="B442">
        <v>0</v>
      </c>
      <c r="C442" s="13">
        <v>0</v>
      </c>
    </row>
    <row r="443" spans="1:3" x14ac:dyDescent="0.25">
      <c r="A443" s="14" t="s">
        <v>326</v>
      </c>
      <c r="B443">
        <v>0</v>
      </c>
      <c r="C443" s="13">
        <v>0</v>
      </c>
    </row>
    <row r="444" spans="1:3" x14ac:dyDescent="0.25">
      <c r="A444" t="s">
        <v>852</v>
      </c>
      <c r="B444">
        <v>9.5606869999999997E-2</v>
      </c>
      <c r="C444" s="13">
        <v>-1.5905769999999999</v>
      </c>
    </row>
    <row r="445" spans="1:3" x14ac:dyDescent="0.25">
      <c r="A445" t="s">
        <v>853</v>
      </c>
      <c r="B445">
        <v>9.5606869999999997E-2</v>
      </c>
      <c r="C445" s="13">
        <v>-1.5905769999999999</v>
      </c>
    </row>
    <row r="446" spans="1:3" x14ac:dyDescent="0.25">
      <c r="A446" t="s">
        <v>294</v>
      </c>
      <c r="B446">
        <v>35.066249999999997</v>
      </c>
      <c r="C446" s="13">
        <v>0</v>
      </c>
    </row>
    <row r="447" spans="1:3" x14ac:dyDescent="0.25">
      <c r="A447" t="s">
        <v>854</v>
      </c>
      <c r="B447">
        <v>35.066249999999997</v>
      </c>
      <c r="C447" s="13">
        <v>0</v>
      </c>
    </row>
    <row r="448" spans="1:3" x14ac:dyDescent="0.25">
      <c r="A448" t="s">
        <v>855</v>
      </c>
      <c r="B448">
        <v>35.066249999999997</v>
      </c>
      <c r="C448" s="13">
        <v>0</v>
      </c>
    </row>
    <row r="449" spans="1:3" x14ac:dyDescent="0.25">
      <c r="A449" t="s">
        <v>327</v>
      </c>
      <c r="B449">
        <v>15.340909999999999</v>
      </c>
      <c r="C449" s="13">
        <v>2.1859609999999998</v>
      </c>
    </row>
    <row r="450" spans="1:3" x14ac:dyDescent="0.25">
      <c r="A450" t="s">
        <v>856</v>
      </c>
      <c r="B450">
        <v>6.8427090000000002</v>
      </c>
      <c r="C450" s="13">
        <v>1.7149430000000001</v>
      </c>
    </row>
    <row r="451" spans="1:3" x14ac:dyDescent="0.25">
      <c r="A451" t="s">
        <v>857</v>
      </c>
      <c r="B451">
        <v>29.33</v>
      </c>
      <c r="C451" s="13">
        <v>8.5545849999999994</v>
      </c>
    </row>
    <row r="452" spans="1:3" x14ac:dyDescent="0.25">
      <c r="A452" t="s">
        <v>858</v>
      </c>
      <c r="B452">
        <v>19.538799999999998</v>
      </c>
      <c r="C452" s="13">
        <v>5.6988190000000003</v>
      </c>
    </row>
    <row r="453" spans="1:3" x14ac:dyDescent="0.25">
      <c r="A453" t="s">
        <v>859</v>
      </c>
      <c r="B453">
        <v>58.62</v>
      </c>
      <c r="C453" s="13">
        <v>17.09751</v>
      </c>
    </row>
    <row r="454" spans="1:3" x14ac:dyDescent="0.25">
      <c r="A454" t="s">
        <v>860</v>
      </c>
      <c r="B454">
        <v>0</v>
      </c>
      <c r="C454" s="13">
        <v>0</v>
      </c>
    </row>
    <row r="455" spans="1:3" x14ac:dyDescent="0.25">
      <c r="A455" t="s">
        <v>328</v>
      </c>
      <c r="B455">
        <v>92.964169999999996</v>
      </c>
      <c r="C455" s="13">
        <v>22.67437</v>
      </c>
    </row>
    <row r="456" spans="1:3" x14ac:dyDescent="0.25">
      <c r="A456" t="s">
        <v>861</v>
      </c>
      <c r="B456">
        <v>5.5825129999999996</v>
      </c>
      <c r="C456" s="13">
        <v>1.628234</v>
      </c>
    </row>
    <row r="457" spans="1:3" x14ac:dyDescent="0.25">
      <c r="A457" t="s">
        <v>862</v>
      </c>
      <c r="B457">
        <v>43.22</v>
      </c>
      <c r="C457" s="13">
        <v>10.831950000000001</v>
      </c>
    </row>
    <row r="458" spans="1:3" x14ac:dyDescent="0.25">
      <c r="A458" t="s">
        <v>863</v>
      </c>
      <c r="B458">
        <v>28.791910000000001</v>
      </c>
      <c r="C458" s="13">
        <v>7.2159300000000002</v>
      </c>
    </row>
    <row r="459" spans="1:3" x14ac:dyDescent="0.25">
      <c r="A459" t="s">
        <v>864</v>
      </c>
      <c r="B459">
        <v>10.567069999999999</v>
      </c>
      <c r="C459" s="13">
        <v>1.505719</v>
      </c>
    </row>
    <row r="460" spans="1:3" x14ac:dyDescent="0.25">
      <c r="A460" t="s">
        <v>865</v>
      </c>
      <c r="B460">
        <v>0</v>
      </c>
      <c r="C460" s="13">
        <v>0</v>
      </c>
    </row>
    <row r="461" spans="1:3" x14ac:dyDescent="0.25">
      <c r="A461" t="s">
        <v>866</v>
      </c>
      <c r="B461">
        <v>12.781129999999999</v>
      </c>
      <c r="C461" s="13">
        <v>0</v>
      </c>
    </row>
    <row r="462" spans="1:3" x14ac:dyDescent="0.25">
      <c r="A462" t="s">
        <v>330</v>
      </c>
      <c r="B462">
        <v>4.98508</v>
      </c>
      <c r="C462" s="13">
        <v>0.71033630000000003</v>
      </c>
    </row>
    <row r="463" spans="1:3" x14ac:dyDescent="0.25">
      <c r="A463" t="s">
        <v>867</v>
      </c>
      <c r="B463">
        <v>0</v>
      </c>
      <c r="C463" s="13">
        <v>0</v>
      </c>
    </row>
    <row r="464" spans="1:3" x14ac:dyDescent="0.25">
      <c r="A464" t="s">
        <v>868</v>
      </c>
      <c r="B464">
        <v>19.53021</v>
      </c>
      <c r="C464" s="13">
        <v>-2.7829060000000001</v>
      </c>
    </row>
    <row r="465" spans="1:3" x14ac:dyDescent="0.25">
      <c r="A465" t="s">
        <v>869</v>
      </c>
      <c r="B465">
        <v>18.864409999999999</v>
      </c>
      <c r="C465" s="13">
        <v>-2.688034</v>
      </c>
    </row>
    <row r="466" spans="1:3" x14ac:dyDescent="0.25">
      <c r="A466" t="s">
        <v>332</v>
      </c>
      <c r="B466">
        <v>0.66219760000000005</v>
      </c>
      <c r="C466" s="13">
        <v>1.0055350000000001</v>
      </c>
    </row>
    <row r="467" spans="1:3" x14ac:dyDescent="0.25">
      <c r="A467" t="s">
        <v>870</v>
      </c>
      <c r="B467">
        <v>1.107027</v>
      </c>
      <c r="C467" s="13">
        <v>2.02325</v>
      </c>
    </row>
    <row r="468" spans="1:3" x14ac:dyDescent="0.25">
      <c r="A468" t="s">
        <v>871</v>
      </c>
      <c r="B468">
        <v>7.4573559999999999</v>
      </c>
      <c r="C468" s="13">
        <v>1.5142789999999999</v>
      </c>
    </row>
    <row r="469" spans="1:3" x14ac:dyDescent="0.25">
      <c r="A469" t="s">
        <v>872</v>
      </c>
      <c r="B469">
        <v>9.0785210000000003</v>
      </c>
      <c r="C469" s="13">
        <v>2.2752910000000002</v>
      </c>
    </row>
    <row r="470" spans="1:3" x14ac:dyDescent="0.25">
      <c r="A470" t="s">
        <v>873</v>
      </c>
      <c r="B470">
        <v>0.2207325</v>
      </c>
      <c r="C470" s="13">
        <v>1.454901</v>
      </c>
    </row>
    <row r="471" spans="1:3" x14ac:dyDescent="0.25">
      <c r="A471" t="s">
        <v>874</v>
      </c>
      <c r="B471">
        <v>8.2679390000000001</v>
      </c>
      <c r="C471" s="13">
        <v>8.4349849999999993</v>
      </c>
    </row>
    <row r="472" spans="1:3" x14ac:dyDescent="0.25">
      <c r="A472" t="s">
        <v>875</v>
      </c>
      <c r="B472">
        <v>10.607620000000001</v>
      </c>
      <c r="C472" s="13">
        <v>7.9557130000000003</v>
      </c>
    </row>
    <row r="473" spans="1:3" x14ac:dyDescent="0.25">
      <c r="A473" t="s">
        <v>876</v>
      </c>
      <c r="B473">
        <v>40.509410000000003</v>
      </c>
      <c r="C473" s="13">
        <v>8.2257800000000003</v>
      </c>
    </row>
    <row r="474" spans="1:3" x14ac:dyDescent="0.25">
      <c r="A474" t="s">
        <v>338</v>
      </c>
      <c r="B474">
        <v>4.977144</v>
      </c>
      <c r="C474" s="13">
        <v>-1.0106520000000001</v>
      </c>
    </row>
    <row r="475" spans="1:3" x14ac:dyDescent="0.25">
      <c r="A475" t="s">
        <v>877</v>
      </c>
      <c r="B475">
        <v>4.977144</v>
      </c>
      <c r="C475" s="13">
        <v>-1.0106520000000001</v>
      </c>
    </row>
    <row r="476" spans="1:3" x14ac:dyDescent="0.25">
      <c r="A476" t="s">
        <v>878</v>
      </c>
      <c r="B476">
        <v>0</v>
      </c>
      <c r="C476" s="13">
        <v>0</v>
      </c>
    </row>
    <row r="477" spans="1:3" x14ac:dyDescent="0.25">
      <c r="A477" t="s">
        <v>879</v>
      </c>
      <c r="B477">
        <v>8.3524550000000003E-2</v>
      </c>
      <c r="C477" s="13">
        <v>-0.75470630000000005</v>
      </c>
    </row>
    <row r="478" spans="1:3" x14ac:dyDescent="0.25">
      <c r="A478" t="s">
        <v>880</v>
      </c>
      <c r="B478">
        <v>0.33109880000000003</v>
      </c>
      <c r="C478" s="13">
        <v>1.8093939999999999</v>
      </c>
    </row>
    <row r="479" spans="1:3" x14ac:dyDescent="0.25">
      <c r="A479" t="s">
        <v>341</v>
      </c>
      <c r="B479">
        <v>3.080212</v>
      </c>
      <c r="C479" s="13">
        <v>0</v>
      </c>
    </row>
    <row r="480" spans="1:3" x14ac:dyDescent="0.25">
      <c r="A480" t="s">
        <v>881</v>
      </c>
      <c r="B480">
        <v>6.0793660000000003</v>
      </c>
      <c r="C480" s="13">
        <v>0</v>
      </c>
    </row>
    <row r="481" spans="1:3" x14ac:dyDescent="0.25">
      <c r="A481" t="s">
        <v>882</v>
      </c>
      <c r="B481">
        <v>6.9710070000000002</v>
      </c>
      <c r="C481" s="13">
        <v>1.4155249999999999</v>
      </c>
    </row>
    <row r="482" spans="1:3" x14ac:dyDescent="0.25">
      <c r="A482" t="s">
        <v>342</v>
      </c>
      <c r="B482">
        <v>13.13143</v>
      </c>
      <c r="C482" s="13">
        <v>0</v>
      </c>
    </row>
    <row r="483" spans="1:3" x14ac:dyDescent="0.25">
      <c r="A483" t="s">
        <v>336</v>
      </c>
      <c r="B483">
        <v>25.128050000000002</v>
      </c>
      <c r="C483" s="13">
        <v>0</v>
      </c>
    </row>
    <row r="484" spans="1:3" x14ac:dyDescent="0.25">
      <c r="A484" t="s">
        <v>343</v>
      </c>
      <c r="B484">
        <v>9.9701599999999999</v>
      </c>
      <c r="C484" s="13">
        <v>24.269120000000001</v>
      </c>
    </row>
    <row r="485" spans="1:3" x14ac:dyDescent="0.25">
      <c r="A485" t="s">
        <v>883</v>
      </c>
      <c r="B485">
        <v>1.6379440000000001</v>
      </c>
      <c r="C485" s="13">
        <v>1.3572470000000001</v>
      </c>
    </row>
    <row r="486" spans="1:3" x14ac:dyDescent="0.25">
      <c r="A486" t="s">
        <v>884</v>
      </c>
      <c r="B486">
        <v>0</v>
      </c>
      <c r="C486" s="13">
        <v>0</v>
      </c>
    </row>
    <row r="487" spans="1:3" x14ac:dyDescent="0.25">
      <c r="A487" t="s">
        <v>885</v>
      </c>
      <c r="B487">
        <v>6.2</v>
      </c>
      <c r="C487" s="13">
        <v>2.250299</v>
      </c>
    </row>
    <row r="488" spans="1:3" x14ac:dyDescent="0.25">
      <c r="A488" t="s">
        <v>886</v>
      </c>
      <c r="B488">
        <v>4.5246769999999996</v>
      </c>
      <c r="C488" s="13">
        <v>2.1914009999999999</v>
      </c>
    </row>
    <row r="489" spans="1:3" x14ac:dyDescent="0.25">
      <c r="A489" t="s">
        <v>347</v>
      </c>
      <c r="B489">
        <v>5.0902609999999999</v>
      </c>
      <c r="C489" s="13">
        <v>1.0336190000000001</v>
      </c>
    </row>
    <row r="490" spans="1:3" x14ac:dyDescent="0.25">
      <c r="A490" t="s">
        <v>349</v>
      </c>
      <c r="B490">
        <v>0</v>
      </c>
      <c r="C490" s="13">
        <v>0</v>
      </c>
    </row>
    <row r="491" spans="1:3" x14ac:dyDescent="0.25">
      <c r="A491" t="s">
        <v>887</v>
      </c>
      <c r="B491">
        <v>0</v>
      </c>
      <c r="C491" s="13">
        <v>0</v>
      </c>
    </row>
    <row r="492" spans="1:3" x14ac:dyDescent="0.25">
      <c r="A492" t="s">
        <v>888</v>
      </c>
      <c r="B492">
        <v>3.3233869999999999</v>
      </c>
      <c r="C492" s="13">
        <v>-0.47355829999999999</v>
      </c>
    </row>
    <row r="493" spans="1:3" x14ac:dyDescent="0.25">
      <c r="A493" s="14" t="s">
        <v>350</v>
      </c>
      <c r="B493">
        <v>17.87247</v>
      </c>
      <c r="C493" s="13">
        <v>4.4792649999999998</v>
      </c>
    </row>
    <row r="494" spans="1:3" x14ac:dyDescent="0.25">
      <c r="A494" t="s">
        <v>889</v>
      </c>
      <c r="B494">
        <v>15.949490000000001</v>
      </c>
      <c r="C494" s="13">
        <v>6.7944509999999996</v>
      </c>
    </row>
    <row r="495" spans="1:3" x14ac:dyDescent="0.25">
      <c r="A495" s="14" t="s">
        <v>351</v>
      </c>
      <c r="B495">
        <v>15.38855</v>
      </c>
      <c r="C495" s="13">
        <v>10.34117</v>
      </c>
    </row>
    <row r="496" spans="1:3" x14ac:dyDescent="0.25">
      <c r="A496" t="s">
        <v>890</v>
      </c>
      <c r="B496">
        <v>15.85487</v>
      </c>
      <c r="C496" s="13">
        <v>0</v>
      </c>
    </row>
    <row r="497" spans="1:3" x14ac:dyDescent="0.25">
      <c r="A497" t="s">
        <v>891</v>
      </c>
      <c r="B497">
        <v>10.45889</v>
      </c>
      <c r="C497" s="13">
        <v>-8.3909699999999994</v>
      </c>
    </row>
    <row r="498" spans="1:3" x14ac:dyDescent="0.25">
      <c r="A498" t="s">
        <v>892</v>
      </c>
      <c r="B498">
        <v>2.11815</v>
      </c>
      <c r="C498" s="13">
        <v>-1.312711</v>
      </c>
    </row>
    <row r="499" spans="1:3" x14ac:dyDescent="0.25">
      <c r="A499" t="s">
        <v>893</v>
      </c>
      <c r="B499">
        <v>0</v>
      </c>
      <c r="C499" s="13">
        <v>0</v>
      </c>
    </row>
    <row r="500" spans="1:3" x14ac:dyDescent="0.25">
      <c r="A500" t="s">
        <v>894</v>
      </c>
      <c r="B500">
        <v>0</v>
      </c>
      <c r="C500" s="13">
        <v>0</v>
      </c>
    </row>
    <row r="501" spans="1:3" x14ac:dyDescent="0.25">
      <c r="A501" t="s">
        <v>443</v>
      </c>
      <c r="B501">
        <v>2.9185249999999998</v>
      </c>
      <c r="C501" s="13">
        <v>0.85123709999999997</v>
      </c>
    </row>
    <row r="502" spans="1:3" x14ac:dyDescent="0.25">
      <c r="A502" t="s">
        <v>444</v>
      </c>
      <c r="B502">
        <v>3.2204419999999998</v>
      </c>
      <c r="C502" s="13">
        <v>1.467276</v>
      </c>
    </row>
    <row r="503" spans="1:3" x14ac:dyDescent="0.25">
      <c r="A503" t="s">
        <v>895</v>
      </c>
      <c r="B503">
        <v>10.26516</v>
      </c>
      <c r="C503" s="13">
        <v>2.572692</v>
      </c>
    </row>
    <row r="504" spans="1:3" x14ac:dyDescent="0.25">
      <c r="A504" t="s">
        <v>364</v>
      </c>
      <c r="B504">
        <v>0.79181840000000003</v>
      </c>
      <c r="C504" s="13">
        <v>-0.1128281</v>
      </c>
    </row>
    <row r="505" spans="1:3" x14ac:dyDescent="0.25">
      <c r="A505" t="s">
        <v>896</v>
      </c>
      <c r="B505">
        <v>0.79181840000000003</v>
      </c>
      <c r="C505" s="13">
        <v>-0.1128281</v>
      </c>
    </row>
    <row r="506" spans="1:3" x14ac:dyDescent="0.25">
      <c r="A506" t="s">
        <v>897</v>
      </c>
      <c r="B506">
        <v>0</v>
      </c>
      <c r="C506" s="13">
        <v>0</v>
      </c>
    </row>
    <row r="507" spans="1:3" x14ac:dyDescent="0.25">
      <c r="A507" t="s">
        <v>898</v>
      </c>
      <c r="B507">
        <v>0</v>
      </c>
      <c r="C507" s="13">
        <v>0</v>
      </c>
    </row>
    <row r="508" spans="1:3" x14ac:dyDescent="0.25">
      <c r="A508" t="s">
        <v>899</v>
      </c>
      <c r="B508">
        <v>0</v>
      </c>
      <c r="C508" s="13">
        <v>0</v>
      </c>
    </row>
    <row r="509" spans="1:3" x14ac:dyDescent="0.25">
      <c r="A509" t="s">
        <v>366</v>
      </c>
      <c r="B509">
        <v>9.3000000000000007</v>
      </c>
      <c r="C509" s="13">
        <v>1.8884430000000001</v>
      </c>
    </row>
    <row r="510" spans="1:3" x14ac:dyDescent="0.25">
      <c r="A510" t="s">
        <v>446</v>
      </c>
      <c r="B510">
        <v>2.3176920000000001</v>
      </c>
      <c r="C510" s="13">
        <v>0.84120980000000001</v>
      </c>
    </row>
    <row r="511" spans="1:3" x14ac:dyDescent="0.25">
      <c r="A511" t="s">
        <v>900</v>
      </c>
      <c r="B511">
        <v>0.88293010000000005</v>
      </c>
      <c r="C511" s="13">
        <v>3.279096</v>
      </c>
    </row>
    <row r="512" spans="1:3" x14ac:dyDescent="0.25">
      <c r="A512" t="s">
        <v>901</v>
      </c>
      <c r="B512">
        <v>0.21643409999999999</v>
      </c>
      <c r="C512" s="13">
        <v>0</v>
      </c>
    </row>
    <row r="513" spans="1:3" x14ac:dyDescent="0.25">
      <c r="A513" t="s">
        <v>902</v>
      </c>
      <c r="B513">
        <v>0.19684170000000001</v>
      </c>
      <c r="C513" s="13">
        <v>0</v>
      </c>
    </row>
    <row r="514" spans="1:3" x14ac:dyDescent="0.25">
      <c r="A514" t="s">
        <v>903</v>
      </c>
      <c r="B514">
        <v>2.703494E-2</v>
      </c>
      <c r="C514" s="13">
        <v>0</v>
      </c>
    </row>
    <row r="515" spans="1:3" x14ac:dyDescent="0.25">
      <c r="A515" t="s">
        <v>904</v>
      </c>
      <c r="B515">
        <v>4.2645080000000002E-2</v>
      </c>
      <c r="C515" s="13">
        <v>-9.4868190000000005E-2</v>
      </c>
    </row>
    <row r="516" spans="1:3" x14ac:dyDescent="0.25">
      <c r="A516" t="s">
        <v>905</v>
      </c>
      <c r="B516">
        <v>3.5292480000000001E-2</v>
      </c>
      <c r="C516" s="13">
        <v>0</v>
      </c>
    </row>
    <row r="517" spans="1:3" x14ac:dyDescent="0.25">
      <c r="A517" t="s">
        <v>906</v>
      </c>
      <c r="B517">
        <v>8.6491109999999996E-2</v>
      </c>
      <c r="C517" s="13">
        <v>1.232432E-2</v>
      </c>
    </row>
    <row r="518" spans="1:3" x14ac:dyDescent="0.25">
      <c r="A518" t="s">
        <v>907</v>
      </c>
      <c r="B518">
        <v>0</v>
      </c>
      <c r="C518" s="13">
        <v>0</v>
      </c>
    </row>
    <row r="519" spans="1:3" x14ac:dyDescent="0.25">
      <c r="A519" t="s">
        <v>908</v>
      </c>
      <c r="B519">
        <v>1.6239150000000001E-2</v>
      </c>
      <c r="C519" s="13">
        <v>-2.9679359999999998E-2</v>
      </c>
    </row>
    <row r="520" spans="1:3" x14ac:dyDescent="0.25">
      <c r="A520" t="s">
        <v>909</v>
      </c>
      <c r="B520">
        <v>1.400332E-2</v>
      </c>
      <c r="C520" s="13">
        <v>4.6026699999999997E-3</v>
      </c>
    </row>
    <row r="521" spans="1:3" x14ac:dyDescent="0.25">
      <c r="A521" t="s">
        <v>910</v>
      </c>
      <c r="B521">
        <v>8.0991720000000003E-2</v>
      </c>
      <c r="C521" s="13">
        <v>1.1540689999999999E-2</v>
      </c>
    </row>
    <row r="522" spans="1:3" x14ac:dyDescent="0.25">
      <c r="A522" t="s">
        <v>911</v>
      </c>
      <c r="B522">
        <v>0.29171619999999998</v>
      </c>
      <c r="C522" s="13">
        <v>0</v>
      </c>
    </row>
    <row r="523" spans="1:3" x14ac:dyDescent="0.25">
      <c r="A523" t="s">
        <v>912</v>
      </c>
      <c r="B523">
        <v>0</v>
      </c>
      <c r="C523" s="13">
        <v>0</v>
      </c>
    </row>
    <row r="524" spans="1:3" x14ac:dyDescent="0.25">
      <c r="A524" t="s">
        <v>913</v>
      </c>
      <c r="B524">
        <v>0.1214876</v>
      </c>
      <c r="C524" s="13">
        <v>0</v>
      </c>
    </row>
    <row r="525" spans="1:3" x14ac:dyDescent="0.25">
      <c r="A525" t="s">
        <v>914</v>
      </c>
      <c r="B525">
        <v>3.752453E-2</v>
      </c>
      <c r="C525" s="13">
        <v>5.3469399999999997E-3</v>
      </c>
    </row>
    <row r="526" spans="1:3" x14ac:dyDescent="0.25">
      <c r="A526" t="s">
        <v>915</v>
      </c>
      <c r="B526">
        <v>0.20020830000000001</v>
      </c>
      <c r="C526" s="13">
        <v>6.5805349999999999E-2</v>
      </c>
    </row>
    <row r="527" spans="1:3" x14ac:dyDescent="0.25">
      <c r="A527" t="s">
        <v>916</v>
      </c>
      <c r="B527">
        <v>0</v>
      </c>
      <c r="C527" s="13">
        <v>0</v>
      </c>
    </row>
    <row r="528" spans="1:3" x14ac:dyDescent="0.25">
      <c r="A528" t="s">
        <v>917</v>
      </c>
      <c r="B528">
        <v>2.6200000000000001E-2</v>
      </c>
      <c r="C528" s="13">
        <v>0</v>
      </c>
    </row>
    <row r="529" spans="1:3" x14ac:dyDescent="0.25">
      <c r="A529" t="s">
        <v>918</v>
      </c>
      <c r="B529">
        <v>0.14875720000000001</v>
      </c>
      <c r="C529" s="13">
        <v>0</v>
      </c>
    </row>
    <row r="530" spans="1:3" x14ac:dyDescent="0.25">
      <c r="A530" t="s">
        <v>919</v>
      </c>
      <c r="B530">
        <v>5.8037680000000001E-2</v>
      </c>
      <c r="C530" s="13">
        <v>0</v>
      </c>
    </row>
    <row r="531" spans="1:3" x14ac:dyDescent="0.25">
      <c r="A531" t="s">
        <v>920</v>
      </c>
      <c r="B531">
        <v>1.191556E-2</v>
      </c>
      <c r="C531" s="13">
        <v>0</v>
      </c>
    </row>
    <row r="532" spans="1:3" x14ac:dyDescent="0.25">
      <c r="A532" t="s">
        <v>921</v>
      </c>
      <c r="B532">
        <v>3.6714589999999998E-2</v>
      </c>
      <c r="C532" s="13">
        <v>7.4552000000000004E-3</v>
      </c>
    </row>
    <row r="533" spans="1:3" x14ac:dyDescent="0.25">
      <c r="A533" t="s">
        <v>922</v>
      </c>
      <c r="B533">
        <v>3.9337740000000003E-2</v>
      </c>
      <c r="C533" s="13">
        <v>0</v>
      </c>
    </row>
    <row r="534" spans="1:3" x14ac:dyDescent="0.25">
      <c r="A534" t="s">
        <v>923</v>
      </c>
      <c r="B534">
        <v>0</v>
      </c>
      <c r="C534" s="13">
        <v>0</v>
      </c>
    </row>
    <row r="535" spans="1:3" x14ac:dyDescent="0.25">
      <c r="A535" t="s">
        <v>367</v>
      </c>
      <c r="B535">
        <v>10.46644</v>
      </c>
      <c r="C535" s="13">
        <v>0</v>
      </c>
    </row>
    <row r="536" spans="1:3" x14ac:dyDescent="0.25">
      <c r="A536" t="s">
        <v>924</v>
      </c>
      <c r="B536">
        <v>14.69327</v>
      </c>
      <c r="C536" s="13">
        <v>2.9835929999999999</v>
      </c>
    </row>
    <row r="537" spans="1:3" x14ac:dyDescent="0.25">
      <c r="A537" t="s">
        <v>925</v>
      </c>
      <c r="B537">
        <v>6.2396060000000002</v>
      </c>
      <c r="C537" s="13">
        <v>2.4660500000000001</v>
      </c>
    </row>
    <row r="538" spans="1:3" x14ac:dyDescent="0.25">
      <c r="A538" t="s">
        <v>449</v>
      </c>
      <c r="B538">
        <v>7.8360050000000001</v>
      </c>
      <c r="C538" s="13">
        <v>1.116571</v>
      </c>
    </row>
    <row r="539" spans="1:3" x14ac:dyDescent="0.25">
      <c r="A539" t="s">
        <v>926</v>
      </c>
      <c r="B539">
        <v>0</v>
      </c>
      <c r="C539" s="13">
        <v>0</v>
      </c>
    </row>
    <row r="540" spans="1:3" x14ac:dyDescent="0.25">
      <c r="A540" t="s">
        <v>927</v>
      </c>
      <c r="B540">
        <v>3.5869040000000001</v>
      </c>
      <c r="C540" s="13">
        <v>1.6342410000000001</v>
      </c>
    </row>
    <row r="541" spans="1:3" x14ac:dyDescent="0.25">
      <c r="A541" t="s">
        <v>928</v>
      </c>
      <c r="B541">
        <v>1.509582</v>
      </c>
      <c r="C541" s="13">
        <v>3.6745869999999998</v>
      </c>
    </row>
    <row r="542" spans="1:3" x14ac:dyDescent="0.25">
      <c r="A542" t="s">
        <v>455</v>
      </c>
      <c r="B542">
        <v>3.53172</v>
      </c>
      <c r="C542" s="13">
        <v>0</v>
      </c>
    </row>
    <row r="543" spans="1:3" x14ac:dyDescent="0.25">
      <c r="A543" t="s">
        <v>929</v>
      </c>
      <c r="B543">
        <v>9.0540609999999994E-2</v>
      </c>
      <c r="C543" s="13">
        <v>2.2691599999999999E-2</v>
      </c>
    </row>
    <row r="544" spans="1:3" x14ac:dyDescent="0.25">
      <c r="A544" t="s">
        <v>930</v>
      </c>
      <c r="B544">
        <v>25.057369999999999</v>
      </c>
      <c r="C544" s="13">
        <v>11.41648</v>
      </c>
    </row>
    <row r="545" spans="1:3" x14ac:dyDescent="0.25">
      <c r="A545" t="s">
        <v>931</v>
      </c>
      <c r="B545">
        <v>27.06195</v>
      </c>
      <c r="C545" s="13">
        <v>11.52834</v>
      </c>
    </row>
    <row r="546" spans="1:3" x14ac:dyDescent="0.25">
      <c r="A546" t="s">
        <v>932</v>
      </c>
      <c r="B546">
        <v>27.06195</v>
      </c>
      <c r="C546" s="13">
        <v>11.52834</v>
      </c>
    </row>
    <row r="547" spans="1:3" x14ac:dyDescent="0.25">
      <c r="A547" t="s">
        <v>933</v>
      </c>
      <c r="B547">
        <v>34.59272</v>
      </c>
      <c r="C547" s="13">
        <v>4.9292109999999996</v>
      </c>
    </row>
    <row r="548" spans="1:3" x14ac:dyDescent="0.25">
      <c r="A548" t="s">
        <v>934</v>
      </c>
      <c r="B548">
        <v>8.8773680000000006</v>
      </c>
      <c r="C548" s="13">
        <v>0</v>
      </c>
    </row>
    <row r="549" spans="1:3" x14ac:dyDescent="0.25">
      <c r="A549" t="s">
        <v>935</v>
      </c>
      <c r="B549">
        <v>0</v>
      </c>
      <c r="C549" s="13">
        <v>0</v>
      </c>
    </row>
    <row r="550" spans="1:3" x14ac:dyDescent="0.25">
      <c r="A550" t="s">
        <v>936</v>
      </c>
      <c r="B550">
        <v>13.234680000000001</v>
      </c>
      <c r="C550" s="13">
        <v>4.8035490000000003</v>
      </c>
    </row>
    <row r="551" spans="1:3" x14ac:dyDescent="0.25">
      <c r="A551" t="s">
        <v>937</v>
      </c>
      <c r="B551">
        <v>4.458202</v>
      </c>
      <c r="C551" s="13">
        <v>0</v>
      </c>
    </row>
    <row r="552" spans="1:3" x14ac:dyDescent="0.25">
      <c r="A552" t="s">
        <v>938</v>
      </c>
      <c r="B552">
        <v>12.96931</v>
      </c>
      <c r="C552" s="13">
        <v>3.250416</v>
      </c>
    </row>
    <row r="553" spans="1:3" x14ac:dyDescent="0.25">
      <c r="A553" t="s">
        <v>939</v>
      </c>
      <c r="B553">
        <v>24.415769999999998</v>
      </c>
      <c r="C553" s="13">
        <v>-3.479063</v>
      </c>
    </row>
    <row r="554" spans="1:3" x14ac:dyDescent="0.25">
      <c r="A554" t="s">
        <v>940</v>
      </c>
      <c r="B554">
        <v>22.5291</v>
      </c>
      <c r="C554" s="13">
        <v>0</v>
      </c>
    </row>
    <row r="555" spans="1:3" x14ac:dyDescent="0.25">
      <c r="A555" t="s">
        <v>941</v>
      </c>
      <c r="B555">
        <v>5.2975810000000001</v>
      </c>
      <c r="C555" s="13">
        <v>1.7412300000000001</v>
      </c>
    </row>
    <row r="556" spans="1:3" x14ac:dyDescent="0.25">
      <c r="A556" t="s">
        <v>942</v>
      </c>
      <c r="B556">
        <v>10.81589</v>
      </c>
      <c r="C556" s="13">
        <v>4.9278659999999999</v>
      </c>
    </row>
    <row r="557" spans="1:3" x14ac:dyDescent="0.25">
      <c r="A557" t="s">
        <v>461</v>
      </c>
      <c r="B557">
        <v>0</v>
      </c>
      <c r="C557" s="13">
        <v>0</v>
      </c>
    </row>
    <row r="558" spans="1:3" x14ac:dyDescent="0.25">
      <c r="A558" t="s">
        <v>462</v>
      </c>
      <c r="B558">
        <v>0</v>
      </c>
      <c r="C558" s="13">
        <v>0</v>
      </c>
    </row>
    <row r="559" spans="1:3" x14ac:dyDescent="0.25">
      <c r="A559" t="s">
        <v>943</v>
      </c>
      <c r="B559">
        <v>17.985589999999998</v>
      </c>
      <c r="C559" s="13">
        <v>0</v>
      </c>
    </row>
    <row r="560" spans="1:3" x14ac:dyDescent="0.25">
      <c r="A560" t="s">
        <v>944</v>
      </c>
      <c r="B560">
        <v>0</v>
      </c>
      <c r="C560" s="13">
        <v>0</v>
      </c>
    </row>
    <row r="561" spans="1:3" x14ac:dyDescent="0.25">
      <c r="A561" t="s">
        <v>945</v>
      </c>
      <c r="B561">
        <v>18.370190000000001</v>
      </c>
      <c r="C561" s="13">
        <v>-2.6176010000000001</v>
      </c>
    </row>
    <row r="562" spans="1:3" x14ac:dyDescent="0.25">
      <c r="A562" t="s">
        <v>946</v>
      </c>
      <c r="B562">
        <v>0</v>
      </c>
      <c r="C562" s="13">
        <v>0</v>
      </c>
    </row>
    <row r="563" spans="1:3" x14ac:dyDescent="0.25">
      <c r="A563" t="s">
        <v>947</v>
      </c>
      <c r="B563">
        <v>2.877567</v>
      </c>
      <c r="C563" s="13">
        <v>0</v>
      </c>
    </row>
    <row r="564" spans="1:3" x14ac:dyDescent="0.25">
      <c r="A564" t="s">
        <v>948</v>
      </c>
      <c r="B564">
        <v>0.49664819999999998</v>
      </c>
      <c r="C564" s="13">
        <v>0.49259219999999998</v>
      </c>
    </row>
    <row r="565" spans="1:3" x14ac:dyDescent="0.25">
      <c r="A565" t="s">
        <v>949</v>
      </c>
      <c r="B565">
        <v>1.6102209999999999</v>
      </c>
      <c r="C565" s="13">
        <v>-2.091707</v>
      </c>
    </row>
    <row r="566" spans="1:3" x14ac:dyDescent="0.25">
      <c r="A566" t="s">
        <v>950</v>
      </c>
      <c r="B566">
        <v>10.86899</v>
      </c>
      <c r="C566" s="13">
        <v>0</v>
      </c>
    </row>
    <row r="567" spans="1:3" x14ac:dyDescent="0.25">
      <c r="A567" t="s">
        <v>951</v>
      </c>
      <c r="B567">
        <v>1.811499</v>
      </c>
      <c r="C567" s="13">
        <v>1.026624</v>
      </c>
    </row>
    <row r="568" spans="1:3" x14ac:dyDescent="0.25">
      <c r="A568" t="s">
        <v>952</v>
      </c>
      <c r="B568">
        <v>1.811499</v>
      </c>
      <c r="C568" s="13">
        <v>1.026624</v>
      </c>
    </row>
    <row r="569" spans="1:3" x14ac:dyDescent="0.25">
      <c r="A569" t="s">
        <v>953</v>
      </c>
      <c r="B569">
        <v>0.50048289999999995</v>
      </c>
      <c r="C569" s="13">
        <v>-1.081429</v>
      </c>
    </row>
    <row r="570" spans="1:3" x14ac:dyDescent="0.25">
      <c r="A570" t="s">
        <v>954</v>
      </c>
      <c r="B570">
        <v>0</v>
      </c>
      <c r="C570" s="13">
        <v>0</v>
      </c>
    </row>
    <row r="571" spans="1:3" x14ac:dyDescent="0.25">
      <c r="A571" t="s">
        <v>395</v>
      </c>
      <c r="B571">
        <v>6.8427090000000002</v>
      </c>
      <c r="C571" s="13">
        <v>2.483571</v>
      </c>
    </row>
    <row r="572" spans="1:3" x14ac:dyDescent="0.25">
      <c r="A572" t="s">
        <v>955</v>
      </c>
      <c r="B572">
        <v>17.989699999999999</v>
      </c>
      <c r="C572" s="13">
        <v>8.7128099999999993</v>
      </c>
    </row>
    <row r="573" spans="1:3" x14ac:dyDescent="0.25">
      <c r="A573" t="s">
        <v>956</v>
      </c>
      <c r="B573">
        <v>2.1134149999999998</v>
      </c>
      <c r="C573" s="13">
        <v>0</v>
      </c>
    </row>
    <row r="574" spans="1:3" x14ac:dyDescent="0.25">
      <c r="A574" t="s">
        <v>957</v>
      </c>
      <c r="B574">
        <v>1.1036630000000001</v>
      </c>
      <c r="C574" s="13">
        <v>-2.6865079999999999</v>
      </c>
    </row>
    <row r="575" spans="1:3" x14ac:dyDescent="0.25">
      <c r="A575" t="s">
        <v>958</v>
      </c>
      <c r="B575">
        <v>3.5000000000000001E-3</v>
      </c>
      <c r="C575" s="13">
        <v>0</v>
      </c>
    </row>
    <row r="576" spans="1:3" x14ac:dyDescent="0.25">
      <c r="A576" t="s">
        <v>959</v>
      </c>
      <c r="B576">
        <v>6.25E-2</v>
      </c>
      <c r="C576" s="13">
        <v>0</v>
      </c>
    </row>
    <row r="577" spans="1:3" x14ac:dyDescent="0.25">
      <c r="A577" t="s">
        <v>960</v>
      </c>
      <c r="B577">
        <v>0</v>
      </c>
      <c r="C577" s="13">
        <v>0</v>
      </c>
    </row>
    <row r="578" spans="1:3" x14ac:dyDescent="0.25">
      <c r="A578" t="s">
        <v>961</v>
      </c>
      <c r="B578">
        <v>6.7871670000000002</v>
      </c>
      <c r="C578" s="13">
        <v>1.701025</v>
      </c>
    </row>
    <row r="579" spans="1:3" x14ac:dyDescent="0.25">
      <c r="A579" t="s">
        <v>962</v>
      </c>
      <c r="B579">
        <v>16.583500000000001</v>
      </c>
      <c r="C579" s="13">
        <v>2.363013</v>
      </c>
    </row>
    <row r="580" spans="1:3" x14ac:dyDescent="0.25">
      <c r="A580" t="s">
        <v>963</v>
      </c>
      <c r="B580">
        <v>9.4090789999999994E-2</v>
      </c>
      <c r="C580" s="13">
        <v>-0.2885663</v>
      </c>
    </row>
    <row r="581" spans="1:3" x14ac:dyDescent="0.25">
      <c r="A581" t="s">
        <v>964</v>
      </c>
      <c r="B581">
        <v>1.598997</v>
      </c>
      <c r="C581" s="13">
        <v>1.724124</v>
      </c>
    </row>
    <row r="582" spans="1:3" x14ac:dyDescent="0.25">
      <c r="A582" t="s">
        <v>237</v>
      </c>
      <c r="B582">
        <v>29.386009999999999</v>
      </c>
      <c r="C582" s="13">
        <v>0</v>
      </c>
    </row>
    <row r="583" spans="1:3" x14ac:dyDescent="0.25">
      <c r="A583" t="s">
        <v>965</v>
      </c>
      <c r="B583">
        <v>16.700289999999999</v>
      </c>
      <c r="C583" s="13">
        <v>0</v>
      </c>
    </row>
    <row r="584" spans="1:3" x14ac:dyDescent="0.25">
      <c r="A584" t="s">
        <v>966</v>
      </c>
      <c r="B584">
        <v>12.168430000000001</v>
      </c>
      <c r="C584" s="13">
        <v>3.549131</v>
      </c>
    </row>
    <row r="585" spans="1:3" x14ac:dyDescent="0.25">
      <c r="A585" t="s">
        <v>967</v>
      </c>
      <c r="B585">
        <v>5.0767110000000004</v>
      </c>
      <c r="C585" s="13">
        <v>3.0123419999999999</v>
      </c>
    </row>
    <row r="586" spans="1:3" x14ac:dyDescent="0.25">
      <c r="A586" t="s">
        <v>968</v>
      </c>
      <c r="B586">
        <v>6.3867960000000004</v>
      </c>
      <c r="C586" s="13">
        <v>2.3180969999999999</v>
      </c>
    </row>
    <row r="587" spans="1:3" x14ac:dyDescent="0.25">
      <c r="A587" t="s">
        <v>969</v>
      </c>
      <c r="B587">
        <v>2.6918869999999999</v>
      </c>
      <c r="C587" s="13">
        <v>1.808959</v>
      </c>
    </row>
    <row r="588" spans="1:3" x14ac:dyDescent="0.25">
      <c r="A588" t="s">
        <v>396</v>
      </c>
      <c r="B588">
        <v>7</v>
      </c>
      <c r="C588" s="13">
        <v>6.746969</v>
      </c>
    </row>
    <row r="589" spans="1:3" x14ac:dyDescent="0.25">
      <c r="A589" t="s">
        <v>238</v>
      </c>
      <c r="B589">
        <v>40.128700000000002</v>
      </c>
      <c r="C589" s="13">
        <v>10.05721</v>
      </c>
    </row>
    <row r="590" spans="1:3" x14ac:dyDescent="0.25">
      <c r="A590" t="s">
        <v>239</v>
      </c>
      <c r="B590">
        <v>40.366169999999997</v>
      </c>
      <c r="C590" s="13">
        <v>5.7518570000000002</v>
      </c>
    </row>
    <row r="591" spans="1:3" x14ac:dyDescent="0.25">
      <c r="A591" t="s">
        <v>970</v>
      </c>
      <c r="B591">
        <v>0.94976740000000004</v>
      </c>
      <c r="C591" s="13">
        <v>-1.601893</v>
      </c>
    </row>
    <row r="592" spans="1:3" x14ac:dyDescent="0.25">
      <c r="A592" t="s">
        <v>971</v>
      </c>
      <c r="B592">
        <v>0</v>
      </c>
      <c r="C592" s="13">
        <v>0</v>
      </c>
    </row>
    <row r="593" spans="1:3" x14ac:dyDescent="0.25">
      <c r="A593" t="s">
        <v>972</v>
      </c>
      <c r="B593">
        <v>26.027270000000001</v>
      </c>
      <c r="C593" s="13">
        <v>0</v>
      </c>
    </row>
    <row r="594" spans="1:3" x14ac:dyDescent="0.25">
      <c r="A594" t="s">
        <v>240</v>
      </c>
      <c r="B594">
        <v>1.4109069999999999</v>
      </c>
      <c r="C594" s="13">
        <v>-0.94813559999999997</v>
      </c>
    </row>
    <row r="595" spans="1:3" x14ac:dyDescent="0.25">
      <c r="A595" t="s">
        <v>973</v>
      </c>
      <c r="B595">
        <v>0</v>
      </c>
      <c r="C595" s="13">
        <v>0</v>
      </c>
    </row>
    <row r="596" spans="1:3" x14ac:dyDescent="0.25">
      <c r="A596" t="s">
        <v>974</v>
      </c>
      <c r="B596">
        <v>10.25262</v>
      </c>
      <c r="C596" s="13">
        <v>0</v>
      </c>
    </row>
    <row r="597" spans="1:3" x14ac:dyDescent="0.25">
      <c r="A597" t="s">
        <v>975</v>
      </c>
      <c r="B597">
        <v>0.65227239999999997</v>
      </c>
      <c r="C597" s="13">
        <v>0.6106762</v>
      </c>
    </row>
    <row r="598" spans="1:3" x14ac:dyDescent="0.25">
      <c r="A598" t="s">
        <v>277</v>
      </c>
      <c r="B598">
        <v>13.574249999999999</v>
      </c>
      <c r="C598" s="13">
        <v>1.934221</v>
      </c>
    </row>
    <row r="599" spans="1:3" x14ac:dyDescent="0.25">
      <c r="A599" t="s">
        <v>976</v>
      </c>
      <c r="B599">
        <v>10.370430000000001</v>
      </c>
      <c r="C599" s="13">
        <v>1.4777169999999999</v>
      </c>
    </row>
    <row r="600" spans="1:3" x14ac:dyDescent="0.25">
      <c r="A600" t="s">
        <v>397</v>
      </c>
      <c r="B600">
        <v>21.60773</v>
      </c>
      <c r="C600" s="13">
        <v>-5.4154070000000001</v>
      </c>
    </row>
    <row r="601" spans="1:3" x14ac:dyDescent="0.25">
      <c r="A601" t="s">
        <v>398</v>
      </c>
      <c r="B601">
        <v>19.589469999999999</v>
      </c>
      <c r="C601" s="13">
        <v>-3.9778060000000002</v>
      </c>
    </row>
    <row r="602" spans="1:3" x14ac:dyDescent="0.25">
      <c r="A602" t="s">
        <v>977</v>
      </c>
      <c r="B602">
        <v>6.574217</v>
      </c>
      <c r="C602" s="13">
        <v>0.93678150000000004</v>
      </c>
    </row>
    <row r="603" spans="1:3" x14ac:dyDescent="0.25">
      <c r="A603" t="s">
        <v>242</v>
      </c>
      <c r="B603">
        <v>38.347900000000003</v>
      </c>
      <c r="C603" s="13">
        <v>0</v>
      </c>
    </row>
    <row r="604" spans="1:3" x14ac:dyDescent="0.25">
      <c r="A604" t="s">
        <v>978</v>
      </c>
      <c r="B604">
        <v>44.046619999999997</v>
      </c>
      <c r="C604" s="13">
        <v>6.2763020000000003</v>
      </c>
    </row>
    <row r="605" spans="1:3" x14ac:dyDescent="0.25">
      <c r="A605" t="s">
        <v>243</v>
      </c>
      <c r="B605">
        <v>39.060200000000002</v>
      </c>
      <c r="C605" s="13">
        <v>7.9315309999999997</v>
      </c>
    </row>
    <row r="606" spans="1:3" x14ac:dyDescent="0.25">
      <c r="A606" t="s">
        <v>979</v>
      </c>
      <c r="B606">
        <v>0</v>
      </c>
      <c r="C606" s="13">
        <v>0</v>
      </c>
    </row>
    <row r="607" spans="1:3" x14ac:dyDescent="0.25">
      <c r="A607" t="s">
        <v>980</v>
      </c>
      <c r="B607">
        <v>11.193250000000001</v>
      </c>
      <c r="C607" s="13">
        <v>2.2728820000000001</v>
      </c>
    </row>
    <row r="608" spans="1:3" x14ac:dyDescent="0.25">
      <c r="A608" t="s">
        <v>981</v>
      </c>
      <c r="B608">
        <v>28.01886</v>
      </c>
      <c r="C608" s="13">
        <v>5.6894739999999997</v>
      </c>
    </row>
    <row r="609" spans="1:3" x14ac:dyDescent="0.25">
      <c r="A609" t="s">
        <v>400</v>
      </c>
      <c r="B609">
        <v>45.233849999999997</v>
      </c>
      <c r="C609" s="13">
        <v>11.336690000000001</v>
      </c>
    </row>
    <row r="610" spans="1:3" x14ac:dyDescent="0.25">
      <c r="A610" t="s">
        <v>401</v>
      </c>
      <c r="B610">
        <v>30.987010000000001</v>
      </c>
      <c r="C610" s="13">
        <v>4.4154309999999999</v>
      </c>
    </row>
    <row r="611" spans="1:3" x14ac:dyDescent="0.25">
      <c r="A611" t="s">
        <v>982</v>
      </c>
      <c r="B611">
        <v>18.046019999999999</v>
      </c>
      <c r="C611" s="13">
        <v>4.5227589999999998</v>
      </c>
    </row>
    <row r="612" spans="1:3" x14ac:dyDescent="0.25">
      <c r="A612" t="s">
        <v>983</v>
      </c>
      <c r="B612">
        <v>7.1234219999999997</v>
      </c>
      <c r="C612" s="13">
        <v>2.8153570000000001</v>
      </c>
    </row>
    <row r="613" spans="1:3" x14ac:dyDescent="0.25">
      <c r="A613" t="s">
        <v>984</v>
      </c>
      <c r="B613">
        <v>12.282400000000001</v>
      </c>
      <c r="C613" s="13">
        <v>2.4940600000000002</v>
      </c>
    </row>
    <row r="614" spans="1:3" x14ac:dyDescent="0.25">
      <c r="A614" t="s">
        <v>246</v>
      </c>
      <c r="B614">
        <v>9.2599780000000003</v>
      </c>
      <c r="C614" s="13">
        <v>1.319483</v>
      </c>
    </row>
    <row r="615" spans="1:3" x14ac:dyDescent="0.25">
      <c r="A615" t="s">
        <v>985</v>
      </c>
      <c r="B615">
        <v>4.4146219999999996</v>
      </c>
      <c r="C615" s="13">
        <v>0.62905789999999995</v>
      </c>
    </row>
    <row r="616" spans="1:3" x14ac:dyDescent="0.25">
      <c r="A616" t="s">
        <v>986</v>
      </c>
      <c r="B616">
        <v>35.02355</v>
      </c>
      <c r="C616" s="13">
        <v>0</v>
      </c>
    </row>
    <row r="617" spans="1:3" x14ac:dyDescent="0.25">
      <c r="A617" t="s">
        <v>402</v>
      </c>
      <c r="B617">
        <v>25.525649999999999</v>
      </c>
      <c r="C617" s="13">
        <v>0</v>
      </c>
    </row>
    <row r="618" spans="1:3" x14ac:dyDescent="0.25">
      <c r="A618" t="s">
        <v>987</v>
      </c>
      <c r="B618">
        <v>6.5298590000000001</v>
      </c>
      <c r="C618" s="13">
        <v>1.636538</v>
      </c>
    </row>
    <row r="619" spans="1:3" x14ac:dyDescent="0.25">
      <c r="A619" t="s">
        <v>247</v>
      </c>
      <c r="B619">
        <v>31.794750000000001</v>
      </c>
      <c r="C619" s="13">
        <v>0</v>
      </c>
    </row>
    <row r="620" spans="1:3" x14ac:dyDescent="0.25">
      <c r="A620" t="s">
        <v>252</v>
      </c>
      <c r="B620">
        <v>0</v>
      </c>
      <c r="C620" s="13">
        <v>0</v>
      </c>
    </row>
    <row r="621" spans="1:3" x14ac:dyDescent="0.25">
      <c r="A621" t="s">
        <v>988</v>
      </c>
      <c r="B621">
        <v>0</v>
      </c>
      <c r="C621" s="13">
        <v>0</v>
      </c>
    </row>
    <row r="622" spans="1:3" x14ac:dyDescent="0.25">
      <c r="A622" t="s">
        <v>253</v>
      </c>
      <c r="B622">
        <v>8.1889129999999994</v>
      </c>
      <c r="C622" s="13">
        <v>3.236469</v>
      </c>
    </row>
    <row r="623" spans="1:3" x14ac:dyDescent="0.25">
      <c r="A623" t="s">
        <v>989</v>
      </c>
      <c r="B623">
        <v>9.8041999999999998</v>
      </c>
      <c r="C623" s="13">
        <v>3.874876</v>
      </c>
    </row>
    <row r="624" spans="1:3" x14ac:dyDescent="0.25">
      <c r="A624" t="s">
        <v>254</v>
      </c>
      <c r="B624">
        <v>23.28397</v>
      </c>
      <c r="C624" s="13">
        <v>5.8355090000000001</v>
      </c>
    </row>
    <row r="625" spans="1:3" x14ac:dyDescent="0.25">
      <c r="A625" t="s">
        <v>990</v>
      </c>
      <c r="B625">
        <v>6.7723529999999998</v>
      </c>
      <c r="C625" s="13">
        <v>0</v>
      </c>
    </row>
    <row r="626" spans="1:3" x14ac:dyDescent="0.25">
      <c r="A626" t="s">
        <v>991</v>
      </c>
      <c r="B626">
        <v>6.3491400000000002</v>
      </c>
      <c r="C626" s="13">
        <v>0</v>
      </c>
    </row>
    <row r="627" spans="1:3" x14ac:dyDescent="0.25">
      <c r="A627" t="s">
        <v>992</v>
      </c>
      <c r="B627">
        <v>2.539701</v>
      </c>
      <c r="C627" s="13">
        <v>0</v>
      </c>
    </row>
    <row r="628" spans="1:3" x14ac:dyDescent="0.25">
      <c r="A628" t="s">
        <v>993</v>
      </c>
      <c r="B628">
        <v>0.75368400000000002</v>
      </c>
      <c r="C628" s="13">
        <v>0.32106820000000003</v>
      </c>
    </row>
    <row r="629" spans="1:3" x14ac:dyDescent="0.25">
      <c r="A629" t="s">
        <v>994</v>
      </c>
      <c r="B629">
        <v>16.5</v>
      </c>
      <c r="C629" s="13">
        <v>0</v>
      </c>
    </row>
    <row r="630" spans="1:3" x14ac:dyDescent="0.25">
      <c r="A630" t="s">
        <v>256</v>
      </c>
      <c r="B630">
        <v>15.01449</v>
      </c>
      <c r="C630" s="13">
        <v>0</v>
      </c>
    </row>
    <row r="631" spans="1:3" x14ac:dyDescent="0.25">
      <c r="A631" t="s">
        <v>995</v>
      </c>
      <c r="B631">
        <v>2.8666239999999998</v>
      </c>
      <c r="C631" s="13">
        <v>0</v>
      </c>
    </row>
    <row r="632" spans="1:3" x14ac:dyDescent="0.25">
      <c r="A632" t="s">
        <v>996</v>
      </c>
      <c r="B632">
        <v>1.5176529999999999</v>
      </c>
      <c r="C632" s="13">
        <v>-1.098762</v>
      </c>
    </row>
    <row r="633" spans="1:3" x14ac:dyDescent="0.25">
      <c r="A633" t="s">
        <v>997</v>
      </c>
      <c r="B633">
        <v>15.07799</v>
      </c>
      <c r="C633" s="13">
        <v>0</v>
      </c>
    </row>
    <row r="634" spans="1:3" x14ac:dyDescent="0.25">
      <c r="A634" t="s">
        <v>998</v>
      </c>
      <c r="B634">
        <v>18.402229999999999</v>
      </c>
      <c r="C634" s="13">
        <v>0</v>
      </c>
    </row>
    <row r="635" spans="1:3" x14ac:dyDescent="0.25">
      <c r="A635" t="s">
        <v>999</v>
      </c>
      <c r="B635">
        <v>0</v>
      </c>
      <c r="C635" s="13">
        <v>0</v>
      </c>
    </row>
    <row r="636" spans="1:3" x14ac:dyDescent="0.25">
      <c r="A636" t="s">
        <v>257</v>
      </c>
      <c r="B636">
        <v>6.0297739999999997</v>
      </c>
      <c r="C636" s="13">
        <v>2.3831199999999999</v>
      </c>
    </row>
    <row r="637" spans="1:3" x14ac:dyDescent="0.25">
      <c r="A637" t="s">
        <v>1000</v>
      </c>
      <c r="B637">
        <v>6.5680909999999999</v>
      </c>
      <c r="C637" s="13">
        <v>0.9359056</v>
      </c>
    </row>
    <row r="638" spans="1:3" x14ac:dyDescent="0.25">
      <c r="A638" s="14" t="s">
        <v>258</v>
      </c>
      <c r="B638">
        <v>7.4542390000000003</v>
      </c>
      <c r="C638" s="13">
        <v>0</v>
      </c>
    </row>
    <row r="639" spans="1:3" x14ac:dyDescent="0.25">
      <c r="A639" t="s">
        <v>1001</v>
      </c>
      <c r="B639">
        <v>0</v>
      </c>
      <c r="C639" s="13">
        <v>0</v>
      </c>
    </row>
    <row r="640" spans="1:3" x14ac:dyDescent="0.25">
      <c r="A640" t="s">
        <v>1002</v>
      </c>
      <c r="B640">
        <v>9.8764389999999995</v>
      </c>
      <c r="C640" s="13">
        <v>2.4752619999999999</v>
      </c>
    </row>
    <row r="641" spans="1:3" x14ac:dyDescent="0.25">
      <c r="A641" t="s">
        <v>1003</v>
      </c>
      <c r="B641">
        <v>1.076735</v>
      </c>
      <c r="C641" s="13">
        <v>2.5422389999999999</v>
      </c>
    </row>
    <row r="642" spans="1:3" x14ac:dyDescent="0.25">
      <c r="A642" t="s">
        <v>1004</v>
      </c>
      <c r="B642">
        <v>12.204079999999999</v>
      </c>
      <c r="C642" s="13">
        <v>2.478145</v>
      </c>
    </row>
    <row r="643" spans="1:3" x14ac:dyDescent="0.25">
      <c r="A643" t="s">
        <v>260</v>
      </c>
      <c r="B643">
        <v>2.0875780000000002</v>
      </c>
      <c r="C643" s="13">
        <v>-3.9205000000000001</v>
      </c>
    </row>
    <row r="644" spans="1:3" x14ac:dyDescent="0.25">
      <c r="A644" t="s">
        <v>1005</v>
      </c>
      <c r="B644">
        <v>0</v>
      </c>
      <c r="C644" s="13">
        <v>0</v>
      </c>
    </row>
    <row r="645" spans="1:3" x14ac:dyDescent="0.25">
      <c r="A645" t="s">
        <v>262</v>
      </c>
      <c r="B645">
        <v>4.3033070000000002</v>
      </c>
      <c r="C645" s="13">
        <v>1.078508</v>
      </c>
    </row>
    <row r="646" spans="1:3" x14ac:dyDescent="0.25">
      <c r="A646" t="s">
        <v>404</v>
      </c>
      <c r="B646">
        <v>37.991700000000002</v>
      </c>
      <c r="C646" s="13">
        <v>0</v>
      </c>
    </row>
    <row r="647" spans="1:3" x14ac:dyDescent="0.25">
      <c r="A647" t="s">
        <v>405</v>
      </c>
      <c r="B647">
        <v>61.499079999999999</v>
      </c>
      <c r="C647" s="13">
        <v>9.5919050000000006</v>
      </c>
    </row>
    <row r="648" spans="1:3" x14ac:dyDescent="0.25">
      <c r="A648" t="s">
        <v>406</v>
      </c>
      <c r="B648">
        <v>33.480220000000003</v>
      </c>
      <c r="C648" s="13">
        <v>4.7706429999999997</v>
      </c>
    </row>
    <row r="649" spans="1:3" x14ac:dyDescent="0.25">
      <c r="A649" t="s">
        <v>1006</v>
      </c>
      <c r="B649">
        <v>0.83103260000000001</v>
      </c>
      <c r="C649" s="13">
        <v>0.47096789999999999</v>
      </c>
    </row>
    <row r="650" spans="1:3" x14ac:dyDescent="0.25">
      <c r="A650" t="s">
        <v>1007</v>
      </c>
      <c r="B650">
        <v>6.1736550000000001</v>
      </c>
      <c r="C650" s="13">
        <v>0.87970020000000004</v>
      </c>
    </row>
    <row r="651" spans="1:3" x14ac:dyDescent="0.25">
      <c r="A651" t="s">
        <v>1008</v>
      </c>
      <c r="B651">
        <v>9.9728349999999999</v>
      </c>
      <c r="C651" s="13">
        <v>-2.908741</v>
      </c>
    </row>
    <row r="652" spans="1:3" x14ac:dyDescent="0.25">
      <c r="A652" t="s">
        <v>1009</v>
      </c>
      <c r="B652">
        <v>29.636299999999999</v>
      </c>
      <c r="C652" s="13">
        <v>8.6439330000000005</v>
      </c>
    </row>
    <row r="653" spans="1:3" x14ac:dyDescent="0.25">
      <c r="A653" t="s">
        <v>1010</v>
      </c>
      <c r="B653">
        <v>0</v>
      </c>
      <c r="C653" s="13">
        <v>0</v>
      </c>
    </row>
    <row r="654" spans="1:3" x14ac:dyDescent="0.25">
      <c r="A654" t="s">
        <v>1011</v>
      </c>
      <c r="B654">
        <v>27.207899999999999</v>
      </c>
      <c r="C654" s="13">
        <v>3.8769049999999998</v>
      </c>
    </row>
    <row r="655" spans="1:3" x14ac:dyDescent="0.25">
      <c r="A655" t="s">
        <v>1012</v>
      </c>
      <c r="B655">
        <v>0</v>
      </c>
      <c r="C655" s="13">
        <v>0</v>
      </c>
    </row>
    <row r="656" spans="1:3" x14ac:dyDescent="0.25">
      <c r="A656" t="s">
        <v>1013</v>
      </c>
      <c r="B656">
        <v>4.8441729999999996</v>
      </c>
      <c r="C656" s="13">
        <v>2.481744</v>
      </c>
    </row>
    <row r="657" spans="1:3" x14ac:dyDescent="0.25">
      <c r="A657" t="s">
        <v>1014</v>
      </c>
      <c r="B657">
        <v>0</v>
      </c>
      <c r="C657" s="13">
        <v>0</v>
      </c>
    </row>
    <row r="658" spans="1:3" x14ac:dyDescent="0.25">
      <c r="A658" t="s">
        <v>1015</v>
      </c>
      <c r="B658">
        <v>13.772019999999999</v>
      </c>
      <c r="C658" s="13">
        <v>-3.4515940000000001</v>
      </c>
    </row>
    <row r="659" spans="1:3" x14ac:dyDescent="0.25">
      <c r="A659" t="s">
        <v>264</v>
      </c>
      <c r="B659">
        <v>9.0213750000000008</v>
      </c>
      <c r="C659" s="13">
        <v>1.8318730000000001</v>
      </c>
    </row>
    <row r="660" spans="1:3" x14ac:dyDescent="0.25">
      <c r="A660" t="s">
        <v>1016</v>
      </c>
      <c r="B660">
        <v>7.9253049999999998</v>
      </c>
      <c r="C660" s="13">
        <v>1.1292930000000001</v>
      </c>
    </row>
    <row r="661" spans="1:3" x14ac:dyDescent="0.25">
      <c r="A661" t="s">
        <v>265</v>
      </c>
      <c r="B661">
        <v>16.860869999999998</v>
      </c>
      <c r="C661" s="13">
        <v>0</v>
      </c>
    </row>
    <row r="662" spans="1:3" x14ac:dyDescent="0.25">
      <c r="A662" t="s">
        <v>1017</v>
      </c>
      <c r="B662">
        <v>22.481059999999999</v>
      </c>
      <c r="C662" s="13">
        <v>0</v>
      </c>
    </row>
    <row r="663" spans="1:3" x14ac:dyDescent="0.25">
      <c r="A663" t="s">
        <v>1018</v>
      </c>
      <c r="B663">
        <v>21.678249999999998</v>
      </c>
      <c r="C663" s="13">
        <v>0</v>
      </c>
    </row>
    <row r="664" spans="1:3" x14ac:dyDescent="0.25">
      <c r="A664" t="s">
        <v>1019</v>
      </c>
      <c r="B664">
        <v>7.5471760000000003</v>
      </c>
      <c r="C664" s="13">
        <v>0</v>
      </c>
    </row>
    <row r="665" spans="1:3" x14ac:dyDescent="0.25">
      <c r="A665" t="s">
        <v>1020</v>
      </c>
      <c r="B665">
        <v>0</v>
      </c>
      <c r="C665" s="13">
        <v>0</v>
      </c>
    </row>
    <row r="666" spans="1:3" x14ac:dyDescent="0.25">
      <c r="A666" t="s">
        <v>1021</v>
      </c>
      <c r="B666">
        <v>15.708159999999999</v>
      </c>
      <c r="C666" s="13">
        <v>-13.433020000000001</v>
      </c>
    </row>
    <row r="667" spans="1:3" x14ac:dyDescent="0.25">
      <c r="A667" t="s">
        <v>1022</v>
      </c>
      <c r="B667">
        <v>12.69825</v>
      </c>
      <c r="C667" s="13">
        <v>6.8537949999999999</v>
      </c>
    </row>
    <row r="668" spans="1:3" x14ac:dyDescent="0.25">
      <c r="A668" t="s">
        <v>1023</v>
      </c>
      <c r="B668">
        <v>8.6795580000000001</v>
      </c>
      <c r="C668" s="13">
        <v>2.1752989999999999</v>
      </c>
    </row>
    <row r="669" spans="1:3" x14ac:dyDescent="0.25">
      <c r="A669" t="s">
        <v>267</v>
      </c>
      <c r="B669">
        <v>2.249066</v>
      </c>
      <c r="C669" s="13">
        <v>1.1522300000000001</v>
      </c>
    </row>
    <row r="670" spans="1:3" x14ac:dyDescent="0.25">
      <c r="A670" t="s">
        <v>1024</v>
      </c>
      <c r="B670">
        <v>0</v>
      </c>
      <c r="C670" s="13">
        <v>0</v>
      </c>
    </row>
    <row r="671" spans="1:3" x14ac:dyDescent="0.25">
      <c r="A671" t="s">
        <v>1025</v>
      </c>
      <c r="B671">
        <v>7.712987</v>
      </c>
      <c r="C671" s="13">
        <v>2.249622</v>
      </c>
    </row>
    <row r="672" spans="1:3" x14ac:dyDescent="0.25">
      <c r="A672" t="s">
        <v>407</v>
      </c>
      <c r="B672">
        <v>8.0289249999999992</v>
      </c>
      <c r="C672" s="13">
        <v>-4.11334</v>
      </c>
    </row>
    <row r="673" spans="1:3" x14ac:dyDescent="0.25">
      <c r="A673" t="s">
        <v>1026</v>
      </c>
      <c r="B673">
        <v>0</v>
      </c>
      <c r="C673" s="13">
        <v>0</v>
      </c>
    </row>
    <row r="674" spans="1:3" x14ac:dyDescent="0.25">
      <c r="A674" t="s">
        <v>272</v>
      </c>
      <c r="B674">
        <v>11.04134</v>
      </c>
      <c r="C674" s="13">
        <v>4.7035900000000002</v>
      </c>
    </row>
    <row r="675" spans="1:3" x14ac:dyDescent="0.25">
      <c r="A675" t="s">
        <v>274</v>
      </c>
      <c r="B675">
        <v>34.311250000000001</v>
      </c>
      <c r="C675" s="13">
        <v>10.007479999999999</v>
      </c>
    </row>
    <row r="676" spans="1:3" x14ac:dyDescent="0.25">
      <c r="A676" t="s">
        <v>273</v>
      </c>
      <c r="B676">
        <v>26.712890000000002</v>
      </c>
      <c r="C676" s="13">
        <v>8.7801069999999992</v>
      </c>
    </row>
    <row r="677" spans="1:3" x14ac:dyDescent="0.25">
      <c r="A677" t="s">
        <v>275</v>
      </c>
      <c r="B677">
        <v>7.7077590000000002</v>
      </c>
      <c r="C677" s="13">
        <v>-2.2480989999999998</v>
      </c>
    </row>
    <row r="678" spans="1:3" x14ac:dyDescent="0.25">
      <c r="A678" t="s">
        <v>1027</v>
      </c>
      <c r="B678">
        <v>0</v>
      </c>
      <c r="C678" s="13">
        <v>0</v>
      </c>
    </row>
    <row r="679" spans="1:3" x14ac:dyDescent="0.25">
      <c r="A679" t="s">
        <v>1028</v>
      </c>
      <c r="B679">
        <v>10.816979999999999</v>
      </c>
      <c r="C679" s="13">
        <v>3.1549529999999999</v>
      </c>
    </row>
    <row r="680" spans="1:3" x14ac:dyDescent="0.25">
      <c r="A680" t="s">
        <v>1029</v>
      </c>
      <c r="B680">
        <v>0</v>
      </c>
      <c r="C680" s="13">
        <v>0</v>
      </c>
    </row>
    <row r="681" spans="1:3" x14ac:dyDescent="0.25">
      <c r="A681" t="s">
        <v>408</v>
      </c>
      <c r="B681">
        <v>17.663679999999999</v>
      </c>
      <c r="C681" s="13">
        <v>0</v>
      </c>
    </row>
    <row r="682" spans="1:3" x14ac:dyDescent="0.25">
      <c r="A682" t="s">
        <v>1030</v>
      </c>
      <c r="B682">
        <v>8.4300550000000002E-2</v>
      </c>
      <c r="C682" s="13">
        <v>0.2495869</v>
      </c>
    </row>
    <row r="683" spans="1:3" x14ac:dyDescent="0.25">
      <c r="A683" t="s">
        <v>1031</v>
      </c>
      <c r="B683">
        <v>0</v>
      </c>
      <c r="C683" s="13">
        <v>0</v>
      </c>
    </row>
    <row r="684" spans="1:3" x14ac:dyDescent="0.25">
      <c r="A684" t="s">
        <v>1032</v>
      </c>
      <c r="B684">
        <v>0</v>
      </c>
      <c r="C684" s="13">
        <v>0</v>
      </c>
    </row>
    <row r="685" spans="1:3" x14ac:dyDescent="0.25">
      <c r="A685" t="s">
        <v>1033</v>
      </c>
      <c r="B685">
        <v>18.970220000000001</v>
      </c>
      <c r="C685" s="13">
        <v>2.7030799999999999</v>
      </c>
    </row>
    <row r="686" spans="1:3" x14ac:dyDescent="0.25">
      <c r="A686" t="s">
        <v>1034</v>
      </c>
      <c r="B686">
        <v>9.6115589999999997</v>
      </c>
      <c r="C686" s="13">
        <v>1.3695679999999999</v>
      </c>
    </row>
    <row r="687" spans="1:3" x14ac:dyDescent="0.25">
      <c r="A687" t="s">
        <v>1035</v>
      </c>
      <c r="B687">
        <v>0.74547090000000005</v>
      </c>
      <c r="C687" s="13">
        <v>0.61771849999999995</v>
      </c>
    </row>
    <row r="688" spans="1:3" x14ac:dyDescent="0.25">
      <c r="A688" t="s">
        <v>1036</v>
      </c>
      <c r="B688">
        <v>0.74547090000000005</v>
      </c>
      <c r="C688" s="13">
        <v>0.61771849999999995</v>
      </c>
    </row>
    <row r="689" spans="1:3" x14ac:dyDescent="0.25">
      <c r="A689" t="s">
        <v>1037</v>
      </c>
      <c r="B689">
        <v>0.93175039999999998</v>
      </c>
      <c r="C689" s="13">
        <v>0.23351910000000001</v>
      </c>
    </row>
    <row r="690" spans="1:3" x14ac:dyDescent="0.25">
      <c r="A690" t="s">
        <v>276</v>
      </c>
      <c r="B690">
        <v>5.8144070000000001</v>
      </c>
      <c r="C690" s="13">
        <v>3.907305</v>
      </c>
    </row>
    <row r="691" spans="1:3" x14ac:dyDescent="0.25">
      <c r="A691" t="s">
        <v>1038</v>
      </c>
      <c r="B691">
        <v>22.16</v>
      </c>
      <c r="C691" s="13">
        <v>7.2836369999999997</v>
      </c>
    </row>
    <row r="692" spans="1:3" x14ac:dyDescent="0.25">
      <c r="A692" t="s">
        <v>1039</v>
      </c>
      <c r="B692">
        <v>13.809799999999999</v>
      </c>
      <c r="C692" s="13">
        <v>4.0278660000000004</v>
      </c>
    </row>
    <row r="693" spans="1:3" x14ac:dyDescent="0.25">
      <c r="A693" t="s">
        <v>1040</v>
      </c>
      <c r="B693">
        <v>12.68572</v>
      </c>
      <c r="C693" s="13">
        <v>3.1793369999999999</v>
      </c>
    </row>
    <row r="694" spans="1:3" x14ac:dyDescent="0.25">
      <c r="A694" t="s">
        <v>1041</v>
      </c>
      <c r="B694">
        <v>0</v>
      </c>
      <c r="C694" s="13">
        <v>0</v>
      </c>
    </row>
    <row r="695" spans="1:3" x14ac:dyDescent="0.25">
      <c r="A695" t="s">
        <v>1042</v>
      </c>
      <c r="B695">
        <v>14.39141</v>
      </c>
      <c r="C695" s="13">
        <v>2.9222950000000001</v>
      </c>
    </row>
    <row r="696" spans="1:3" x14ac:dyDescent="0.25">
      <c r="A696" t="s">
        <v>1043</v>
      </c>
      <c r="B696">
        <v>20.45833</v>
      </c>
      <c r="C696" s="13">
        <v>2.9151669999999998</v>
      </c>
    </row>
    <row r="697" spans="1:3" x14ac:dyDescent="0.25">
      <c r="A697" t="s">
        <v>234</v>
      </c>
      <c r="B697">
        <v>45.233849999999997</v>
      </c>
      <c r="C697" s="13">
        <v>0</v>
      </c>
    </row>
    <row r="698" spans="1:3" x14ac:dyDescent="0.25">
      <c r="A698" t="s">
        <v>1044</v>
      </c>
      <c r="B698">
        <v>27.069089999999999</v>
      </c>
      <c r="C698" s="13">
        <v>5.4966200000000001</v>
      </c>
    </row>
    <row r="699" spans="1:3" x14ac:dyDescent="0.25">
      <c r="A699" t="s">
        <v>235</v>
      </c>
      <c r="B699">
        <v>27.900120000000001</v>
      </c>
      <c r="C699" s="13">
        <v>-5.6653609999999999</v>
      </c>
    </row>
    <row r="700" spans="1:3" x14ac:dyDescent="0.25">
      <c r="A700" t="s">
        <v>1045</v>
      </c>
      <c r="B700">
        <v>0</v>
      </c>
      <c r="C700" s="13">
        <v>0</v>
      </c>
    </row>
    <row r="701" spans="1:3" x14ac:dyDescent="0.25">
      <c r="A701" t="s">
        <v>278</v>
      </c>
      <c r="B701">
        <v>16.69378</v>
      </c>
      <c r="C701" s="13">
        <v>4.1838689999999996</v>
      </c>
    </row>
    <row r="702" spans="1:3" x14ac:dyDescent="0.25">
      <c r="A702" t="s">
        <v>1046</v>
      </c>
      <c r="B702">
        <v>2.2764389999999999</v>
      </c>
      <c r="C702" s="13">
        <v>1.037177</v>
      </c>
    </row>
    <row r="703" spans="1:3" x14ac:dyDescent="0.25">
      <c r="A703" t="s">
        <v>1047</v>
      </c>
      <c r="B703">
        <v>0</v>
      </c>
      <c r="C703" s="13">
        <v>0</v>
      </c>
    </row>
    <row r="704" spans="1:3" x14ac:dyDescent="0.25">
      <c r="A704" t="s">
        <v>1048</v>
      </c>
      <c r="B704">
        <v>0</v>
      </c>
      <c r="C704" s="13">
        <v>0</v>
      </c>
    </row>
    <row r="705" spans="1:3" x14ac:dyDescent="0.25">
      <c r="A705" t="s">
        <v>1049</v>
      </c>
      <c r="B705">
        <v>2.915905</v>
      </c>
      <c r="C705" s="13">
        <v>0.95841339999999997</v>
      </c>
    </row>
    <row r="706" spans="1:3" x14ac:dyDescent="0.25">
      <c r="A706" t="s">
        <v>1050</v>
      </c>
      <c r="B706">
        <v>0</v>
      </c>
      <c r="C706" s="13">
        <v>0</v>
      </c>
    </row>
    <row r="707" spans="1:3" x14ac:dyDescent="0.25">
      <c r="A707" t="s">
        <v>409</v>
      </c>
      <c r="B707">
        <v>5.3426220000000004</v>
      </c>
      <c r="C707" s="13">
        <v>0.76128039999999997</v>
      </c>
    </row>
    <row r="708" spans="1:3" x14ac:dyDescent="0.25">
      <c r="A708" t="s">
        <v>410</v>
      </c>
      <c r="B708">
        <v>3.6804459999999999</v>
      </c>
      <c r="C708" s="13">
        <v>0.52443309999999999</v>
      </c>
    </row>
    <row r="709" spans="1:3" x14ac:dyDescent="0.25">
      <c r="A709" t="s">
        <v>1051</v>
      </c>
      <c r="B709">
        <v>0</v>
      </c>
      <c r="C709" s="13">
        <v>0</v>
      </c>
    </row>
    <row r="710" spans="1:3" x14ac:dyDescent="0.25">
      <c r="A710" t="s">
        <v>1052</v>
      </c>
      <c r="B710">
        <v>9.0213750000000008</v>
      </c>
      <c r="C710" s="13">
        <v>7.2376820000000004</v>
      </c>
    </row>
    <row r="711" spans="1:3" x14ac:dyDescent="0.25">
      <c r="A711" t="s">
        <v>279</v>
      </c>
      <c r="B711">
        <v>12.52514</v>
      </c>
      <c r="C711" s="13">
        <v>0.23145969999999999</v>
      </c>
    </row>
    <row r="712" spans="1:3" x14ac:dyDescent="0.25">
      <c r="A712" t="s">
        <v>1053</v>
      </c>
      <c r="B712">
        <v>11.2033</v>
      </c>
      <c r="C712" s="13">
        <v>0</v>
      </c>
    </row>
    <row r="713" spans="1:3" x14ac:dyDescent="0.25">
      <c r="A713" t="s">
        <v>280</v>
      </c>
      <c r="B713">
        <v>67.764439999999993</v>
      </c>
      <c r="C713" s="13">
        <v>9.6559469999999994</v>
      </c>
    </row>
    <row r="714" spans="1:3" x14ac:dyDescent="0.25">
      <c r="A714" t="s">
        <v>1054</v>
      </c>
      <c r="B714">
        <v>42.194099999999999</v>
      </c>
      <c r="C714" s="13">
        <v>6.0123470000000001</v>
      </c>
    </row>
    <row r="715" spans="1:3" x14ac:dyDescent="0.25">
      <c r="A715" t="s">
        <v>1055</v>
      </c>
      <c r="B715">
        <v>17.84036</v>
      </c>
      <c r="C715" s="13">
        <v>5.2034419999999999</v>
      </c>
    </row>
    <row r="716" spans="1:3" x14ac:dyDescent="0.25">
      <c r="A716" t="s">
        <v>1056</v>
      </c>
      <c r="B716">
        <v>4.3268110000000002</v>
      </c>
      <c r="C716" s="13">
        <v>-2.2166899999999998</v>
      </c>
    </row>
    <row r="717" spans="1:3" x14ac:dyDescent="0.25">
      <c r="A717" t="s">
        <v>1057</v>
      </c>
      <c r="B717">
        <v>7.61226</v>
      </c>
      <c r="C717" s="13">
        <v>0</v>
      </c>
    </row>
    <row r="718" spans="1:3" x14ac:dyDescent="0.25">
      <c r="A718" t="s">
        <v>1058</v>
      </c>
      <c r="B718">
        <v>0.79422099999999995</v>
      </c>
      <c r="C718" s="13">
        <v>-0.31389620000000001</v>
      </c>
    </row>
    <row r="719" spans="1:3" x14ac:dyDescent="0.25">
      <c r="A719" t="s">
        <v>1059</v>
      </c>
      <c r="B719">
        <v>1.1086419999999999</v>
      </c>
      <c r="C719" s="13">
        <v>0.36439310000000003</v>
      </c>
    </row>
    <row r="720" spans="1:3" x14ac:dyDescent="0.25">
      <c r="A720" t="s">
        <v>1060</v>
      </c>
      <c r="B720">
        <v>1.2472719999999999</v>
      </c>
      <c r="C720" s="13">
        <v>0.56827399999999995</v>
      </c>
    </row>
    <row r="721" spans="1:3" x14ac:dyDescent="0.25">
      <c r="A721" t="s">
        <v>1061</v>
      </c>
      <c r="B721">
        <v>11.6351</v>
      </c>
      <c r="C721" s="13">
        <v>1.6579029999999999</v>
      </c>
    </row>
    <row r="722" spans="1:3" x14ac:dyDescent="0.25">
      <c r="A722" t="s">
        <v>1062</v>
      </c>
      <c r="B722">
        <v>7.4566999999999997</v>
      </c>
      <c r="C722" s="13">
        <v>3.6114449999999998</v>
      </c>
    </row>
    <row r="723" spans="1:3" x14ac:dyDescent="0.25">
      <c r="A723" t="s">
        <v>1063</v>
      </c>
      <c r="B723">
        <v>0</v>
      </c>
      <c r="C723" s="13">
        <v>0</v>
      </c>
    </row>
    <row r="724" spans="1:3" x14ac:dyDescent="0.25">
      <c r="A724" t="s">
        <v>1064</v>
      </c>
      <c r="B724">
        <v>6.4232060000000004</v>
      </c>
      <c r="C724" s="13">
        <v>3.6401979999999998</v>
      </c>
    </row>
    <row r="725" spans="1:3" x14ac:dyDescent="0.25">
      <c r="A725" t="s">
        <v>413</v>
      </c>
      <c r="B725">
        <v>5.780875</v>
      </c>
      <c r="C725" s="13">
        <v>4.3356560000000002</v>
      </c>
    </row>
    <row r="726" spans="1:3" x14ac:dyDescent="0.25">
      <c r="A726" t="s">
        <v>1065</v>
      </c>
      <c r="B726">
        <v>9.0230669999999993</v>
      </c>
      <c r="C726" s="13">
        <v>3.2749380000000001</v>
      </c>
    </row>
    <row r="727" spans="1:3" x14ac:dyDescent="0.25">
      <c r="A727" t="s">
        <v>414</v>
      </c>
      <c r="B727">
        <v>4.014462</v>
      </c>
      <c r="C727" s="13">
        <v>3.648857</v>
      </c>
    </row>
    <row r="728" spans="1:3" x14ac:dyDescent="0.25">
      <c r="A728" t="s">
        <v>415</v>
      </c>
      <c r="B728">
        <v>8.7855980000000002</v>
      </c>
      <c r="C728" s="13">
        <v>2.8876819999999999</v>
      </c>
    </row>
    <row r="729" spans="1:3" x14ac:dyDescent="0.25">
      <c r="A729" t="s">
        <v>1066</v>
      </c>
      <c r="B729">
        <v>2.4765199999999998</v>
      </c>
      <c r="C729" s="13">
        <v>0</v>
      </c>
    </row>
    <row r="730" spans="1:3" x14ac:dyDescent="0.25">
      <c r="A730" t="s">
        <v>1067</v>
      </c>
      <c r="B730">
        <v>4.199255</v>
      </c>
      <c r="C730" s="13">
        <v>0</v>
      </c>
    </row>
    <row r="731" spans="1:3" x14ac:dyDescent="0.25">
      <c r="A731" t="s">
        <v>284</v>
      </c>
      <c r="B731">
        <v>7.7077590000000002</v>
      </c>
      <c r="C731" s="13">
        <v>0</v>
      </c>
    </row>
    <row r="732" spans="1:3" x14ac:dyDescent="0.25">
      <c r="A732" t="s">
        <v>1068</v>
      </c>
      <c r="B732">
        <v>1.445246</v>
      </c>
      <c r="C732" s="13">
        <v>2.1945790000000001</v>
      </c>
    </row>
    <row r="733" spans="1:3" x14ac:dyDescent="0.25">
      <c r="A733" t="s">
        <v>416</v>
      </c>
      <c r="B733">
        <v>7.2056940000000003</v>
      </c>
      <c r="C733" s="13">
        <v>5.7809949999999999</v>
      </c>
    </row>
    <row r="734" spans="1:3" x14ac:dyDescent="0.25">
      <c r="A734" t="s">
        <v>1069</v>
      </c>
      <c r="B734">
        <v>20.3127</v>
      </c>
      <c r="C734" s="13">
        <v>2.8944179999999999</v>
      </c>
    </row>
    <row r="735" spans="1:3" x14ac:dyDescent="0.25">
      <c r="A735" t="s">
        <v>1070</v>
      </c>
      <c r="B735">
        <v>15.28115</v>
      </c>
      <c r="C735" s="13">
        <v>2.1774529999999999</v>
      </c>
    </row>
    <row r="736" spans="1:3" x14ac:dyDescent="0.25">
      <c r="A736" t="s">
        <v>1071</v>
      </c>
      <c r="B736">
        <v>9.7354079999999996</v>
      </c>
      <c r="C736" s="13">
        <v>2.839496</v>
      </c>
    </row>
    <row r="737" spans="1:3" x14ac:dyDescent="0.25">
      <c r="A737" t="s">
        <v>1072</v>
      </c>
      <c r="B737">
        <v>0.18639720000000001</v>
      </c>
      <c r="C737" s="13">
        <v>0.4830546</v>
      </c>
    </row>
    <row r="738" spans="1:3" x14ac:dyDescent="0.25">
      <c r="A738" t="s">
        <v>1073</v>
      </c>
      <c r="B738">
        <v>3.6609379999999998</v>
      </c>
      <c r="C738" s="13">
        <v>0.91751720000000003</v>
      </c>
    </row>
    <row r="739" spans="1:3" x14ac:dyDescent="0.25">
      <c r="A739" t="s">
        <v>1074</v>
      </c>
      <c r="B739">
        <v>1.3997850000000001</v>
      </c>
      <c r="C739" s="13">
        <v>-0.19945889999999999</v>
      </c>
    </row>
    <row r="740" spans="1:3" x14ac:dyDescent="0.25">
      <c r="A740" t="s">
        <v>1075</v>
      </c>
      <c r="B740">
        <v>6.5842619999999998</v>
      </c>
      <c r="C740" s="13">
        <v>-1.6501699999999999</v>
      </c>
    </row>
    <row r="741" spans="1:3" x14ac:dyDescent="0.25">
      <c r="A741" t="s">
        <v>1076</v>
      </c>
      <c r="B741">
        <v>3.198086</v>
      </c>
      <c r="C741" s="13">
        <v>0.64939639999999998</v>
      </c>
    </row>
    <row r="742" spans="1:3" x14ac:dyDescent="0.25">
      <c r="A742" t="s">
        <v>1077</v>
      </c>
      <c r="B742">
        <v>1.11E-2</v>
      </c>
      <c r="C742" s="13">
        <v>2.2539499999999998E-3</v>
      </c>
    </row>
    <row r="743" spans="1:3" x14ac:dyDescent="0.25">
      <c r="A743" t="s">
        <v>1078</v>
      </c>
      <c r="B743">
        <v>9.9066930000000006</v>
      </c>
      <c r="C743" s="13">
        <v>3.2561740000000001</v>
      </c>
    </row>
    <row r="744" spans="1:3" x14ac:dyDescent="0.25">
      <c r="A744" t="s">
        <v>1079</v>
      </c>
      <c r="B744">
        <v>0.49133909999999997</v>
      </c>
      <c r="C744" s="13">
        <v>-0.47357850000000001</v>
      </c>
    </row>
    <row r="745" spans="1:3" x14ac:dyDescent="0.25">
      <c r="A745" t="s">
        <v>417</v>
      </c>
      <c r="B745">
        <v>4.4962109999999997</v>
      </c>
      <c r="C745" s="13">
        <v>1.1268590000000001</v>
      </c>
    </row>
    <row r="746" spans="1:3" x14ac:dyDescent="0.25">
      <c r="A746" t="s">
        <v>418</v>
      </c>
      <c r="B746">
        <v>20.554169999999999</v>
      </c>
      <c r="C746" s="13">
        <v>0</v>
      </c>
    </row>
    <row r="747" spans="1:3" x14ac:dyDescent="0.25">
      <c r="A747" t="s">
        <v>1080</v>
      </c>
      <c r="B747">
        <v>10.329040000000001</v>
      </c>
      <c r="C747" s="13">
        <v>2.0973999999999999</v>
      </c>
    </row>
    <row r="748" spans="1:3" x14ac:dyDescent="0.25">
      <c r="A748" t="s">
        <v>1081</v>
      </c>
      <c r="B748">
        <v>3.4332220000000002</v>
      </c>
      <c r="C748" s="13">
        <v>1.356897</v>
      </c>
    </row>
    <row r="749" spans="1:3" x14ac:dyDescent="0.25">
      <c r="A749" t="s">
        <v>1082</v>
      </c>
      <c r="B749">
        <v>3.4332220000000002</v>
      </c>
      <c r="C749" s="13">
        <v>1.356897</v>
      </c>
    </row>
    <row r="750" spans="1:3" x14ac:dyDescent="0.25">
      <c r="A750" t="s">
        <v>1083</v>
      </c>
      <c r="B750">
        <v>8.6999999999999993</v>
      </c>
      <c r="C750" s="13">
        <v>0</v>
      </c>
    </row>
    <row r="751" spans="1:3" x14ac:dyDescent="0.25">
      <c r="A751" t="s">
        <v>1084</v>
      </c>
      <c r="B751">
        <v>4.5149020000000002</v>
      </c>
      <c r="C751" s="13">
        <v>0.64333609999999997</v>
      </c>
    </row>
    <row r="752" spans="1:3" x14ac:dyDescent="0.25">
      <c r="A752" t="s">
        <v>1085</v>
      </c>
      <c r="B752">
        <v>11.24058</v>
      </c>
      <c r="C752" s="13">
        <v>2.282492</v>
      </c>
    </row>
    <row r="753" spans="1:3" x14ac:dyDescent="0.25">
      <c r="A753" t="s">
        <v>1086</v>
      </c>
      <c r="B753">
        <v>15.28115</v>
      </c>
      <c r="C753" s="13">
        <v>0</v>
      </c>
    </row>
    <row r="754" spans="1:3" x14ac:dyDescent="0.25">
      <c r="A754" t="s">
        <v>1087</v>
      </c>
      <c r="B754">
        <v>5.9634150000000004</v>
      </c>
      <c r="C754" s="13">
        <v>-1.210925</v>
      </c>
    </row>
    <row r="755" spans="1:3" x14ac:dyDescent="0.25">
      <c r="A755" t="s">
        <v>1088</v>
      </c>
      <c r="B755">
        <v>10.581860000000001</v>
      </c>
      <c r="C755" s="13">
        <v>2.652069</v>
      </c>
    </row>
    <row r="756" spans="1:3" x14ac:dyDescent="0.25">
      <c r="A756" t="s">
        <v>1089</v>
      </c>
      <c r="B756">
        <v>0</v>
      </c>
      <c r="C756" s="13">
        <v>0</v>
      </c>
    </row>
    <row r="757" spans="1:3" x14ac:dyDescent="0.25">
      <c r="A757" t="s">
        <v>1090</v>
      </c>
      <c r="B757">
        <v>3.6932969999999998</v>
      </c>
      <c r="C757" s="13">
        <v>0</v>
      </c>
    </row>
    <row r="758" spans="1:3" x14ac:dyDescent="0.25">
      <c r="A758" t="s">
        <v>1091</v>
      </c>
      <c r="B758">
        <v>2.408744</v>
      </c>
      <c r="C758" s="13">
        <v>0</v>
      </c>
    </row>
    <row r="759" spans="1:3" x14ac:dyDescent="0.25">
      <c r="A759" t="s">
        <v>1092</v>
      </c>
      <c r="B759">
        <v>1.445246</v>
      </c>
      <c r="C759" s="13">
        <v>0</v>
      </c>
    </row>
    <row r="760" spans="1:3" x14ac:dyDescent="0.25">
      <c r="A760" t="s">
        <v>1093</v>
      </c>
      <c r="B760">
        <v>0</v>
      </c>
      <c r="C760" s="13">
        <v>0</v>
      </c>
    </row>
    <row r="761" spans="1:3" x14ac:dyDescent="0.25">
      <c r="A761" t="s">
        <v>1094</v>
      </c>
      <c r="B761">
        <v>4.0916649999999999</v>
      </c>
      <c r="C761" s="13">
        <v>2.3188550000000001</v>
      </c>
    </row>
    <row r="762" spans="1:3" x14ac:dyDescent="0.25">
      <c r="A762" t="s">
        <v>314</v>
      </c>
      <c r="B762">
        <v>0.3211658</v>
      </c>
      <c r="C762" s="13">
        <v>-8.0227199999999996</v>
      </c>
    </row>
    <row r="763" spans="1:3" x14ac:dyDescent="0.25">
      <c r="A763" t="s">
        <v>419</v>
      </c>
      <c r="B763">
        <v>1.2846630000000001</v>
      </c>
      <c r="C763" s="13">
        <v>0</v>
      </c>
    </row>
    <row r="764" spans="1:3" x14ac:dyDescent="0.25">
      <c r="A764" t="s">
        <v>290</v>
      </c>
      <c r="B764">
        <v>0.74547090000000005</v>
      </c>
      <c r="C764" s="13">
        <v>-0.1062236</v>
      </c>
    </row>
    <row r="765" spans="1:3" x14ac:dyDescent="0.25">
      <c r="A765" t="s">
        <v>1095</v>
      </c>
      <c r="B765">
        <v>4.5149489999999997</v>
      </c>
      <c r="C765" s="13">
        <v>0.91680030000000001</v>
      </c>
    </row>
    <row r="766" spans="1:3" x14ac:dyDescent="0.25">
      <c r="A766" t="s">
        <v>1096</v>
      </c>
      <c r="B766">
        <v>0</v>
      </c>
      <c r="C766" s="13">
        <v>0</v>
      </c>
    </row>
    <row r="767" spans="1:3" x14ac:dyDescent="0.25">
      <c r="A767" t="s">
        <v>1097</v>
      </c>
      <c r="B767">
        <v>3.2115480000000001</v>
      </c>
      <c r="C767" s="13">
        <v>1.4632240000000001</v>
      </c>
    </row>
    <row r="768" spans="1:3" x14ac:dyDescent="0.25">
      <c r="A768" t="s">
        <v>1098</v>
      </c>
      <c r="B768">
        <v>0.32305060000000002</v>
      </c>
      <c r="C768" s="13">
        <v>-0.95644960000000001</v>
      </c>
    </row>
    <row r="769" spans="1:3" x14ac:dyDescent="0.25">
      <c r="A769" t="s">
        <v>1099</v>
      </c>
      <c r="B769">
        <v>5.922091</v>
      </c>
      <c r="C769" s="13">
        <v>-0.84385619999999995</v>
      </c>
    </row>
    <row r="770" spans="1:3" x14ac:dyDescent="0.25">
      <c r="A770" t="s">
        <v>269</v>
      </c>
      <c r="B770">
        <v>21.132909999999999</v>
      </c>
      <c r="C770" s="13">
        <v>0</v>
      </c>
    </row>
    <row r="771" spans="1:3" x14ac:dyDescent="0.25">
      <c r="A771" t="s">
        <v>270</v>
      </c>
      <c r="B771">
        <v>26.47542</v>
      </c>
      <c r="C771" s="13">
        <v>3.7725230000000001</v>
      </c>
    </row>
    <row r="772" spans="1:3" x14ac:dyDescent="0.25">
      <c r="A772" t="s">
        <v>271</v>
      </c>
      <c r="B772">
        <v>35.379750000000001</v>
      </c>
      <c r="C772" s="13">
        <v>0</v>
      </c>
    </row>
    <row r="773" spans="1:3" x14ac:dyDescent="0.25">
      <c r="A773" t="s">
        <v>1100</v>
      </c>
      <c r="B773">
        <v>2.0182699999999998</v>
      </c>
      <c r="C773" s="13">
        <v>-0.28758729999999999</v>
      </c>
    </row>
    <row r="774" spans="1:3" x14ac:dyDescent="0.25">
      <c r="A774" t="s">
        <v>1101</v>
      </c>
      <c r="B774">
        <v>27.781389999999998</v>
      </c>
      <c r="C774" s="13">
        <v>9.1313019999999998</v>
      </c>
    </row>
    <row r="775" spans="1:3" x14ac:dyDescent="0.25">
      <c r="A775" t="s">
        <v>1102</v>
      </c>
      <c r="B775">
        <v>19.708200000000001</v>
      </c>
      <c r="C775" s="13">
        <v>7.7891649999999997</v>
      </c>
    </row>
    <row r="776" spans="1:3" x14ac:dyDescent="0.25">
      <c r="A776" t="s">
        <v>1103</v>
      </c>
      <c r="B776">
        <v>17.571200000000001</v>
      </c>
      <c r="C776" s="13">
        <v>2.5037569999999998</v>
      </c>
    </row>
    <row r="777" spans="1:3" x14ac:dyDescent="0.25">
      <c r="A777" t="s">
        <v>1104</v>
      </c>
      <c r="B777">
        <v>0</v>
      </c>
      <c r="C777" s="13">
        <v>0</v>
      </c>
    </row>
    <row r="778" spans="1:3" x14ac:dyDescent="0.25">
      <c r="A778" t="s">
        <v>420</v>
      </c>
      <c r="B778">
        <v>14.41123</v>
      </c>
      <c r="C778" s="13">
        <v>6.5659580000000002</v>
      </c>
    </row>
    <row r="779" spans="1:3" x14ac:dyDescent="0.25">
      <c r="A779" t="s">
        <v>1105</v>
      </c>
      <c r="B779">
        <v>14.67352</v>
      </c>
      <c r="C779" s="13">
        <v>2.9795910000000001</v>
      </c>
    </row>
    <row r="780" spans="1:3" x14ac:dyDescent="0.25">
      <c r="A780" t="s">
        <v>1106</v>
      </c>
      <c r="B780">
        <v>0.80291460000000003</v>
      </c>
      <c r="C780" s="13">
        <v>0.58130000000000004</v>
      </c>
    </row>
    <row r="781" spans="1:3" x14ac:dyDescent="0.25">
      <c r="A781" t="s">
        <v>1107</v>
      </c>
      <c r="B781">
        <v>21.999420000000001</v>
      </c>
      <c r="C781" s="13">
        <v>4.4671789999999998</v>
      </c>
    </row>
    <row r="782" spans="1:3" x14ac:dyDescent="0.25">
      <c r="A782" t="s">
        <v>1108</v>
      </c>
      <c r="B782">
        <v>0</v>
      </c>
      <c r="C782" s="13">
        <v>0</v>
      </c>
    </row>
    <row r="783" spans="1:3" x14ac:dyDescent="0.25">
      <c r="A783" t="s">
        <v>297</v>
      </c>
      <c r="B783">
        <v>39.29766</v>
      </c>
      <c r="C783" s="13">
        <v>0</v>
      </c>
    </row>
    <row r="784" spans="1:3" x14ac:dyDescent="0.25">
      <c r="A784" t="s">
        <v>1109</v>
      </c>
      <c r="B784">
        <v>36.448250000000002</v>
      </c>
      <c r="C784" s="13">
        <v>5.1935320000000003</v>
      </c>
    </row>
    <row r="785" spans="1:3" x14ac:dyDescent="0.25">
      <c r="A785" t="s">
        <v>298</v>
      </c>
      <c r="B785">
        <v>32.767809999999997</v>
      </c>
      <c r="C785" s="13">
        <v>0</v>
      </c>
    </row>
    <row r="786" spans="1:3" x14ac:dyDescent="0.25">
      <c r="A786" t="s">
        <v>299</v>
      </c>
      <c r="B786">
        <v>5.8611110000000002</v>
      </c>
      <c r="C786" s="13">
        <v>1.926453</v>
      </c>
    </row>
    <row r="787" spans="1:3" x14ac:dyDescent="0.25">
      <c r="A787" t="s">
        <v>1110</v>
      </c>
      <c r="B787">
        <v>5.5496270000000001</v>
      </c>
      <c r="C787" s="13">
        <v>-0.7907805</v>
      </c>
    </row>
    <row r="788" spans="1:3" x14ac:dyDescent="0.25">
      <c r="A788" t="s">
        <v>1111</v>
      </c>
      <c r="B788">
        <v>7.0545340000000003</v>
      </c>
      <c r="C788" s="13">
        <v>-3.9979909999999999</v>
      </c>
    </row>
    <row r="789" spans="1:3" x14ac:dyDescent="0.25">
      <c r="A789" t="s">
        <v>1112</v>
      </c>
      <c r="B789">
        <v>1.6930879999999999</v>
      </c>
      <c r="C789" s="13">
        <v>-1.631888</v>
      </c>
    </row>
    <row r="790" spans="1:3" x14ac:dyDescent="0.25">
      <c r="A790" t="s">
        <v>1113</v>
      </c>
      <c r="B790">
        <v>0</v>
      </c>
      <c r="C790" s="13">
        <v>0</v>
      </c>
    </row>
    <row r="791" spans="1:3" x14ac:dyDescent="0.25">
      <c r="A791" t="s">
        <v>1114</v>
      </c>
      <c r="B791">
        <v>2.883435</v>
      </c>
      <c r="C791" s="13">
        <v>0.41086830000000002</v>
      </c>
    </row>
    <row r="792" spans="1:3" x14ac:dyDescent="0.25">
      <c r="A792" t="s">
        <v>1115</v>
      </c>
      <c r="B792">
        <v>2.883435</v>
      </c>
      <c r="C792" s="13">
        <v>0.41086830000000002</v>
      </c>
    </row>
    <row r="793" spans="1:3" x14ac:dyDescent="0.25">
      <c r="A793" t="s">
        <v>1116</v>
      </c>
      <c r="B793">
        <v>12.204079999999999</v>
      </c>
      <c r="C793" s="13">
        <v>0</v>
      </c>
    </row>
    <row r="794" spans="1:3" x14ac:dyDescent="0.25">
      <c r="A794" t="s">
        <v>421</v>
      </c>
      <c r="B794">
        <v>26.95036</v>
      </c>
      <c r="C794" s="13">
        <v>6.7544060000000004</v>
      </c>
    </row>
    <row r="795" spans="1:3" x14ac:dyDescent="0.25">
      <c r="A795" t="s">
        <v>1117</v>
      </c>
      <c r="B795">
        <v>15.31535</v>
      </c>
      <c r="C795" s="13">
        <v>4.4669740000000004</v>
      </c>
    </row>
    <row r="796" spans="1:3" x14ac:dyDescent="0.25">
      <c r="A796" t="s">
        <v>1118</v>
      </c>
      <c r="B796">
        <v>9.7353660000000009</v>
      </c>
      <c r="C796" s="13">
        <v>4.1472480000000003</v>
      </c>
    </row>
    <row r="797" spans="1:3" x14ac:dyDescent="0.25">
      <c r="A797" t="s">
        <v>1119</v>
      </c>
      <c r="B797">
        <v>8.5157790000000002</v>
      </c>
      <c r="C797" s="13">
        <v>0</v>
      </c>
    </row>
    <row r="798" spans="1:3" x14ac:dyDescent="0.25">
      <c r="A798" t="s">
        <v>301</v>
      </c>
      <c r="B798">
        <v>1.184418</v>
      </c>
      <c r="C798" s="13">
        <v>0</v>
      </c>
    </row>
    <row r="799" spans="1:3" x14ac:dyDescent="0.25">
      <c r="A799" t="s">
        <v>1120</v>
      </c>
      <c r="B799">
        <v>0.64600049999999998</v>
      </c>
      <c r="C799" s="13">
        <v>9.2049919999999993E-2</v>
      </c>
    </row>
    <row r="800" spans="1:3" x14ac:dyDescent="0.25">
      <c r="A800" t="s">
        <v>422</v>
      </c>
      <c r="B800">
        <v>1.7664120000000001</v>
      </c>
      <c r="C800" s="13">
        <v>-2.5462509999999998</v>
      </c>
    </row>
    <row r="801" spans="1:3" x14ac:dyDescent="0.25">
      <c r="A801" t="s">
        <v>423</v>
      </c>
      <c r="B801">
        <v>1.7664120000000001</v>
      </c>
      <c r="C801" s="13">
        <v>-2.5462509999999998</v>
      </c>
    </row>
    <row r="802" spans="1:3" x14ac:dyDescent="0.25">
      <c r="A802" t="s">
        <v>1121</v>
      </c>
      <c r="B802">
        <v>19.567229999999999</v>
      </c>
      <c r="C802" s="13">
        <v>9.4768340000000002</v>
      </c>
    </row>
    <row r="803" spans="1:3" x14ac:dyDescent="0.25">
      <c r="A803" t="s">
        <v>1122</v>
      </c>
      <c r="B803">
        <v>13.92098</v>
      </c>
      <c r="C803" s="13">
        <v>5.0526429999999998</v>
      </c>
    </row>
    <row r="804" spans="1:3" x14ac:dyDescent="0.25">
      <c r="A804" t="s">
        <v>1123</v>
      </c>
      <c r="B804">
        <v>14.20316</v>
      </c>
      <c r="C804" s="13">
        <v>5.1550589999999996</v>
      </c>
    </row>
    <row r="805" spans="1:3" x14ac:dyDescent="0.25">
      <c r="A805" t="s">
        <v>1124</v>
      </c>
      <c r="B805">
        <v>0</v>
      </c>
      <c r="C805" s="13">
        <v>0</v>
      </c>
    </row>
    <row r="806" spans="1:3" x14ac:dyDescent="0.25">
      <c r="A806" t="s">
        <v>303</v>
      </c>
      <c r="B806">
        <v>1.5613109999999999</v>
      </c>
      <c r="C806" s="13">
        <v>2.0817480000000002</v>
      </c>
    </row>
    <row r="807" spans="1:3" x14ac:dyDescent="0.25">
      <c r="A807" t="s">
        <v>1125</v>
      </c>
      <c r="B807">
        <v>13.2681</v>
      </c>
      <c r="C807" s="13">
        <v>0</v>
      </c>
    </row>
    <row r="808" spans="1:3" x14ac:dyDescent="0.25">
      <c r="A808" t="s">
        <v>1126</v>
      </c>
      <c r="B808">
        <v>15.498100000000001</v>
      </c>
      <c r="C808" s="13">
        <v>0</v>
      </c>
    </row>
    <row r="809" spans="1:3" x14ac:dyDescent="0.25">
      <c r="A809" t="s">
        <v>1127</v>
      </c>
      <c r="B809">
        <v>3.950539</v>
      </c>
      <c r="C809" s="13">
        <v>1.682922</v>
      </c>
    </row>
    <row r="810" spans="1:3" x14ac:dyDescent="0.25">
      <c r="A810" t="s">
        <v>1128</v>
      </c>
      <c r="B810">
        <v>0</v>
      </c>
      <c r="C810" s="13">
        <v>0</v>
      </c>
    </row>
    <row r="811" spans="1:3" x14ac:dyDescent="0.25">
      <c r="A811" t="s">
        <v>1129</v>
      </c>
      <c r="B811">
        <v>1.26467</v>
      </c>
      <c r="C811" s="13">
        <v>-3.1754560000000001</v>
      </c>
    </row>
    <row r="812" spans="1:3" x14ac:dyDescent="0.25">
      <c r="A812" t="s">
        <v>1130</v>
      </c>
      <c r="B812">
        <v>0</v>
      </c>
      <c r="C812" s="13">
        <v>0</v>
      </c>
    </row>
    <row r="813" spans="1:3" x14ac:dyDescent="0.25">
      <c r="A813" t="s">
        <v>1131</v>
      </c>
      <c r="B813">
        <v>0.64600049999999998</v>
      </c>
      <c r="C813" s="13">
        <v>-0.51827429999999997</v>
      </c>
    </row>
    <row r="814" spans="1:3" x14ac:dyDescent="0.25">
      <c r="A814" t="s">
        <v>1132</v>
      </c>
      <c r="B814">
        <v>7.2427159999999997</v>
      </c>
      <c r="C814" s="13">
        <v>-1.8151919999999999</v>
      </c>
    </row>
    <row r="815" spans="1:3" x14ac:dyDescent="0.25">
      <c r="A815" t="s">
        <v>305</v>
      </c>
      <c r="B815">
        <v>1.5254829999999999</v>
      </c>
      <c r="C815" s="13">
        <v>0.21736910000000001</v>
      </c>
    </row>
    <row r="816" spans="1:3" x14ac:dyDescent="0.25">
      <c r="A816" t="s">
        <v>1133</v>
      </c>
      <c r="B816">
        <v>7.5332530000000002</v>
      </c>
      <c r="C816" s="13">
        <v>5.6499420000000002</v>
      </c>
    </row>
    <row r="817" spans="1:3" x14ac:dyDescent="0.25">
      <c r="A817" t="s">
        <v>1134</v>
      </c>
      <c r="B817">
        <v>0.49133909999999997</v>
      </c>
      <c r="C817" s="13">
        <v>4.4396120000000003</v>
      </c>
    </row>
    <row r="818" spans="1:3" x14ac:dyDescent="0.25">
      <c r="A818" t="s">
        <v>1135</v>
      </c>
      <c r="B818">
        <v>0.49133909999999997</v>
      </c>
      <c r="C818" s="13">
        <v>4.4396120000000003</v>
      </c>
    </row>
    <row r="819" spans="1:3" x14ac:dyDescent="0.25">
      <c r="A819" t="s">
        <v>306</v>
      </c>
      <c r="B819">
        <v>30.02834</v>
      </c>
      <c r="C819" s="13">
        <v>4.2787759999999997</v>
      </c>
    </row>
    <row r="820" spans="1:3" x14ac:dyDescent="0.25">
      <c r="A820" t="s">
        <v>1136</v>
      </c>
      <c r="B820">
        <v>2.0875780000000002</v>
      </c>
      <c r="C820" s="13">
        <v>0</v>
      </c>
    </row>
    <row r="821" spans="1:3" x14ac:dyDescent="0.25">
      <c r="A821" t="s">
        <v>1137</v>
      </c>
      <c r="B821">
        <v>14.61271</v>
      </c>
      <c r="C821" s="13">
        <v>0</v>
      </c>
    </row>
    <row r="822" spans="1:3" x14ac:dyDescent="0.25">
      <c r="A822" t="s">
        <v>1138</v>
      </c>
      <c r="B822">
        <v>3.077375</v>
      </c>
      <c r="C822" s="13">
        <v>0.4385059</v>
      </c>
    </row>
    <row r="823" spans="1:3" x14ac:dyDescent="0.25">
      <c r="A823" t="s">
        <v>1139</v>
      </c>
      <c r="B823">
        <v>5.1868230000000004</v>
      </c>
      <c r="C823" s="13">
        <v>1.0532300000000001</v>
      </c>
    </row>
    <row r="824" spans="1:3" x14ac:dyDescent="0.25">
      <c r="A824" t="s">
        <v>424</v>
      </c>
      <c r="B824">
        <v>13.890750000000001</v>
      </c>
      <c r="C824" s="13">
        <v>-1.9793320000000001</v>
      </c>
    </row>
    <row r="825" spans="1:3" x14ac:dyDescent="0.25">
      <c r="A825" t="s">
        <v>425</v>
      </c>
      <c r="B825">
        <v>18.758430000000001</v>
      </c>
      <c r="C825" s="13">
        <v>6.1656089999999999</v>
      </c>
    </row>
    <row r="826" spans="1:3" x14ac:dyDescent="0.25">
      <c r="A826" t="s">
        <v>426</v>
      </c>
      <c r="B826">
        <v>32.174239999999998</v>
      </c>
      <c r="C826" s="13">
        <v>0</v>
      </c>
    </row>
    <row r="827" spans="1:3" x14ac:dyDescent="0.25">
      <c r="A827" t="s">
        <v>427</v>
      </c>
      <c r="B827">
        <v>27.069089999999999</v>
      </c>
      <c r="C827" s="13">
        <v>0</v>
      </c>
    </row>
    <row r="828" spans="1:3" x14ac:dyDescent="0.25">
      <c r="A828" t="s">
        <v>1140</v>
      </c>
      <c r="B828">
        <v>0</v>
      </c>
      <c r="C828" s="13">
        <v>0</v>
      </c>
    </row>
    <row r="829" spans="1:3" x14ac:dyDescent="0.25">
      <c r="A829" t="s">
        <v>1141</v>
      </c>
      <c r="B829">
        <v>0</v>
      </c>
      <c r="C829" s="13">
        <v>0</v>
      </c>
    </row>
    <row r="830" spans="1:3" x14ac:dyDescent="0.25">
      <c r="A830" t="s">
        <v>1142</v>
      </c>
      <c r="B830">
        <v>17.663679999999999</v>
      </c>
      <c r="C830" s="13">
        <v>5.1518949999999997</v>
      </c>
    </row>
    <row r="831" spans="1:3" x14ac:dyDescent="0.25">
      <c r="A831" t="s">
        <v>1143</v>
      </c>
      <c r="B831">
        <v>0.35620439999999998</v>
      </c>
      <c r="C831" s="13">
        <v>-0.1170789</v>
      </c>
    </row>
    <row r="832" spans="1:3" x14ac:dyDescent="0.25">
      <c r="A832" t="s">
        <v>308</v>
      </c>
      <c r="B832">
        <v>13.41581</v>
      </c>
      <c r="C832" s="13">
        <v>0</v>
      </c>
    </row>
    <row r="833" spans="1:3" x14ac:dyDescent="0.25">
      <c r="A833" t="s">
        <v>428</v>
      </c>
      <c r="B833">
        <v>19.47073</v>
      </c>
      <c r="C833" s="13">
        <v>2.7744550000000001</v>
      </c>
    </row>
    <row r="834" spans="1:3" x14ac:dyDescent="0.25">
      <c r="A834" t="s">
        <v>1144</v>
      </c>
      <c r="B834">
        <v>33.717579999999998</v>
      </c>
      <c r="C834" s="13">
        <v>4.8044779999999996</v>
      </c>
    </row>
    <row r="835" spans="1:3" x14ac:dyDescent="0.25">
      <c r="A835" t="s">
        <v>1145</v>
      </c>
      <c r="B835">
        <v>17.546399999999998</v>
      </c>
      <c r="C835" s="13">
        <v>2.5002559999999998</v>
      </c>
    </row>
    <row r="836" spans="1:3" x14ac:dyDescent="0.25">
      <c r="A836" t="s">
        <v>1146</v>
      </c>
      <c r="B836">
        <v>10.03314</v>
      </c>
      <c r="C836" s="13">
        <v>2.0373199999999998</v>
      </c>
    </row>
    <row r="837" spans="1:3" x14ac:dyDescent="0.25">
      <c r="A837" t="s">
        <v>1147</v>
      </c>
      <c r="B837">
        <v>0</v>
      </c>
      <c r="C837" s="13">
        <v>0</v>
      </c>
    </row>
    <row r="838" spans="1:3" x14ac:dyDescent="0.25">
      <c r="A838" t="s">
        <v>1148</v>
      </c>
      <c r="B838">
        <v>3.198086</v>
      </c>
      <c r="C838" s="13">
        <v>-0.64939639999999998</v>
      </c>
    </row>
    <row r="839" spans="1:3" x14ac:dyDescent="0.25">
      <c r="A839" t="s">
        <v>1149</v>
      </c>
      <c r="B839">
        <v>0.94063479999999999</v>
      </c>
      <c r="C839" s="13">
        <v>-0.85496970000000005</v>
      </c>
    </row>
    <row r="840" spans="1:3" x14ac:dyDescent="0.25">
      <c r="A840" t="s">
        <v>1150</v>
      </c>
      <c r="B840">
        <v>6.1139900000000003</v>
      </c>
      <c r="C840" s="13">
        <v>0</v>
      </c>
    </row>
    <row r="841" spans="1:3" x14ac:dyDescent="0.25">
      <c r="A841" t="s">
        <v>1151</v>
      </c>
      <c r="B841">
        <v>3.6374</v>
      </c>
      <c r="C841" s="13">
        <v>0.91161780000000003</v>
      </c>
    </row>
    <row r="842" spans="1:3" x14ac:dyDescent="0.25">
      <c r="A842" t="s">
        <v>1152</v>
      </c>
      <c r="B842">
        <v>24.81335</v>
      </c>
      <c r="C842" s="13">
        <v>-7.2372300000000003</v>
      </c>
    </row>
    <row r="843" spans="1:3" x14ac:dyDescent="0.25">
      <c r="A843" t="s">
        <v>1153</v>
      </c>
      <c r="B843">
        <v>24.100940000000001</v>
      </c>
      <c r="C843" s="13">
        <v>3.434205</v>
      </c>
    </row>
    <row r="844" spans="1:3" x14ac:dyDescent="0.25">
      <c r="A844" t="s">
        <v>1154</v>
      </c>
      <c r="B844">
        <v>0.1187348</v>
      </c>
      <c r="C844" s="13">
        <v>1.3139209999999999</v>
      </c>
    </row>
    <row r="845" spans="1:3" x14ac:dyDescent="0.25">
      <c r="A845" t="s">
        <v>1155</v>
      </c>
      <c r="B845">
        <v>0.64233169999999995</v>
      </c>
      <c r="C845" s="13">
        <v>-0.81286230000000004</v>
      </c>
    </row>
    <row r="846" spans="1:3" x14ac:dyDescent="0.25">
      <c r="A846" t="s">
        <v>311</v>
      </c>
      <c r="B846">
        <v>20.414650000000002</v>
      </c>
      <c r="C846" s="13">
        <v>1.5941620000000001</v>
      </c>
    </row>
    <row r="847" spans="1:3" x14ac:dyDescent="0.25">
      <c r="A847" t="s">
        <v>1156</v>
      </c>
      <c r="B847">
        <v>13.394500000000001</v>
      </c>
      <c r="C847" s="13">
        <v>1.9086099999999999</v>
      </c>
    </row>
    <row r="848" spans="1:3" x14ac:dyDescent="0.25">
      <c r="A848" t="s">
        <v>1157</v>
      </c>
      <c r="B848">
        <v>0</v>
      </c>
      <c r="C848" s="13">
        <v>0</v>
      </c>
    </row>
    <row r="849" spans="1:3" x14ac:dyDescent="0.25">
      <c r="A849" t="s">
        <v>1158</v>
      </c>
      <c r="B849">
        <v>20.53923</v>
      </c>
      <c r="C849" s="13">
        <v>4.1706529999999997</v>
      </c>
    </row>
    <row r="850" spans="1:3" x14ac:dyDescent="0.25">
      <c r="A850" t="s">
        <v>429</v>
      </c>
      <c r="B850">
        <v>16.027750000000001</v>
      </c>
      <c r="C850" s="13">
        <v>-3.2545739999999999</v>
      </c>
    </row>
    <row r="851" spans="1:3" x14ac:dyDescent="0.25">
      <c r="A851" t="s">
        <v>1159</v>
      </c>
      <c r="B851">
        <v>5.2204009999999998</v>
      </c>
      <c r="C851" s="13">
        <v>1.308354</v>
      </c>
    </row>
    <row r="852" spans="1:3" x14ac:dyDescent="0.25">
      <c r="A852" t="s">
        <v>1160</v>
      </c>
      <c r="B852">
        <v>5.2204009999999998</v>
      </c>
      <c r="C852" s="13">
        <v>1.308354</v>
      </c>
    </row>
    <row r="853" spans="1:3" x14ac:dyDescent="0.25">
      <c r="A853" t="s">
        <v>1161</v>
      </c>
      <c r="B853">
        <v>0</v>
      </c>
      <c r="C853" s="13">
        <v>0</v>
      </c>
    </row>
    <row r="854" spans="1:3" x14ac:dyDescent="0.25">
      <c r="A854" t="s">
        <v>309</v>
      </c>
      <c r="B854">
        <v>1.5519639999999999</v>
      </c>
      <c r="C854" s="13">
        <v>1.8632660000000001</v>
      </c>
    </row>
    <row r="855" spans="1:3" x14ac:dyDescent="0.25">
      <c r="A855" t="s">
        <v>1162</v>
      </c>
      <c r="B855">
        <v>5.1385430000000003</v>
      </c>
      <c r="C855" s="13">
        <v>1.0434270000000001</v>
      </c>
    </row>
    <row r="856" spans="1:3" x14ac:dyDescent="0.25">
      <c r="A856" t="s">
        <v>1163</v>
      </c>
      <c r="B856">
        <v>1.598997</v>
      </c>
      <c r="C856" s="13">
        <v>-0.2278443</v>
      </c>
    </row>
    <row r="857" spans="1:3" x14ac:dyDescent="0.25">
      <c r="A857" t="s">
        <v>1164</v>
      </c>
      <c r="B857">
        <v>6.574217</v>
      </c>
      <c r="C857" s="13">
        <v>-0.93678150000000004</v>
      </c>
    </row>
    <row r="858" spans="1:3" x14ac:dyDescent="0.25">
      <c r="A858" t="s">
        <v>1165</v>
      </c>
      <c r="B858">
        <v>8.8417130000000004</v>
      </c>
      <c r="C858" s="13">
        <v>2.906129</v>
      </c>
    </row>
    <row r="859" spans="1:3" x14ac:dyDescent="0.25">
      <c r="A859" t="s">
        <v>1166</v>
      </c>
      <c r="B859">
        <v>0</v>
      </c>
      <c r="C859" s="13">
        <v>0</v>
      </c>
    </row>
    <row r="860" spans="1:3" x14ac:dyDescent="0.25">
      <c r="A860" t="s">
        <v>1167</v>
      </c>
      <c r="B860">
        <v>0.64233169999999995</v>
      </c>
      <c r="C860" s="13">
        <v>0</v>
      </c>
    </row>
    <row r="861" spans="1:3" x14ac:dyDescent="0.25">
      <c r="A861" t="s">
        <v>1168</v>
      </c>
      <c r="B861">
        <v>0</v>
      </c>
      <c r="C861" s="13">
        <v>0</v>
      </c>
    </row>
    <row r="862" spans="1:3" x14ac:dyDescent="0.25">
      <c r="A862" t="s">
        <v>312</v>
      </c>
      <c r="B862">
        <v>8.6841729999999995</v>
      </c>
      <c r="C862" s="13">
        <v>0</v>
      </c>
    </row>
    <row r="863" spans="1:3" x14ac:dyDescent="0.25">
      <c r="A863" t="s">
        <v>1169</v>
      </c>
      <c r="B863">
        <v>10.7135</v>
      </c>
      <c r="C863" s="13">
        <v>0</v>
      </c>
    </row>
    <row r="864" spans="1:3" x14ac:dyDescent="0.25">
      <c r="A864" t="s">
        <v>1170</v>
      </c>
      <c r="B864">
        <v>22.16</v>
      </c>
      <c r="C864" s="13">
        <v>0</v>
      </c>
    </row>
    <row r="865" spans="1:3" x14ac:dyDescent="0.25">
      <c r="A865" t="s">
        <v>1171</v>
      </c>
      <c r="B865">
        <v>10.80387</v>
      </c>
      <c r="C865" s="13">
        <v>-1.5394540000000001</v>
      </c>
    </row>
    <row r="866" spans="1:3" x14ac:dyDescent="0.25">
      <c r="A866" t="s">
        <v>1172</v>
      </c>
      <c r="B866">
        <v>0</v>
      </c>
      <c r="C866" s="13">
        <v>0</v>
      </c>
    </row>
    <row r="867" spans="1:3" x14ac:dyDescent="0.25">
      <c r="A867" t="s">
        <v>313</v>
      </c>
      <c r="B867">
        <v>35.854689999999998</v>
      </c>
      <c r="C867" s="13">
        <v>-5.1090039999999997</v>
      </c>
    </row>
    <row r="868" spans="1:3" x14ac:dyDescent="0.25">
      <c r="A868" t="s">
        <v>1173</v>
      </c>
      <c r="B868">
        <v>37.16066</v>
      </c>
      <c r="C868" s="13">
        <v>-5.2950889999999999</v>
      </c>
    </row>
    <row r="869" spans="1:3" x14ac:dyDescent="0.25">
      <c r="A869" t="s">
        <v>1174</v>
      </c>
      <c r="B869">
        <v>1.6019540000000001</v>
      </c>
      <c r="C869" s="13">
        <v>-0.22826350000000001</v>
      </c>
    </row>
    <row r="870" spans="1:3" x14ac:dyDescent="0.25">
      <c r="A870" t="s">
        <v>1175</v>
      </c>
      <c r="B870">
        <v>8.9370740000000009</v>
      </c>
      <c r="C870" s="13">
        <v>0</v>
      </c>
    </row>
    <row r="871" spans="1:3" x14ac:dyDescent="0.25">
      <c r="A871" t="s">
        <v>315</v>
      </c>
      <c r="B871">
        <v>12.82225</v>
      </c>
      <c r="C871" s="13">
        <v>2.6036700000000002</v>
      </c>
    </row>
    <row r="872" spans="1:3" x14ac:dyDescent="0.25">
      <c r="A872" t="s">
        <v>316</v>
      </c>
      <c r="B872">
        <v>13.534549999999999</v>
      </c>
      <c r="C872" s="13">
        <v>1.928572</v>
      </c>
    </row>
    <row r="873" spans="1:3" x14ac:dyDescent="0.25">
      <c r="A873" t="s">
        <v>317</v>
      </c>
      <c r="B873">
        <v>14.00949</v>
      </c>
      <c r="C873" s="13">
        <v>2.8447480000000001</v>
      </c>
    </row>
    <row r="874" spans="1:3" x14ac:dyDescent="0.25">
      <c r="A874" t="s">
        <v>1176</v>
      </c>
      <c r="B874">
        <v>0.1187348</v>
      </c>
      <c r="C874" s="13">
        <v>-2.9659939999999998</v>
      </c>
    </row>
    <row r="875" spans="1:3" x14ac:dyDescent="0.25">
      <c r="A875" t="s">
        <v>1177</v>
      </c>
      <c r="B875">
        <v>1.7664120000000001</v>
      </c>
      <c r="C875" s="13">
        <v>-0.58059210000000006</v>
      </c>
    </row>
    <row r="876" spans="1:3" x14ac:dyDescent="0.25">
      <c r="A876" t="s">
        <v>431</v>
      </c>
      <c r="B876">
        <v>13.890750000000001</v>
      </c>
      <c r="C876" s="13">
        <v>4.565671</v>
      </c>
    </row>
    <row r="877" spans="1:3" x14ac:dyDescent="0.25">
      <c r="A877" t="s">
        <v>1178</v>
      </c>
      <c r="B877">
        <v>12.6249</v>
      </c>
      <c r="C877" s="13">
        <v>4.1496029999999999</v>
      </c>
    </row>
    <row r="878" spans="1:3" x14ac:dyDescent="0.25">
      <c r="A878" t="s">
        <v>432</v>
      </c>
      <c r="B878">
        <v>14.484310000000001</v>
      </c>
      <c r="C878" s="13">
        <v>6.5992470000000001</v>
      </c>
    </row>
    <row r="879" spans="1:3" x14ac:dyDescent="0.25">
      <c r="A879" t="s">
        <v>433</v>
      </c>
      <c r="B879">
        <v>14.00949</v>
      </c>
      <c r="C879" s="13">
        <v>4.604698</v>
      </c>
    </row>
    <row r="880" spans="1:3" x14ac:dyDescent="0.25">
      <c r="A880" t="s">
        <v>1179</v>
      </c>
      <c r="B880">
        <v>4.5853719999999996</v>
      </c>
      <c r="C880" s="13">
        <v>2.0891570000000002</v>
      </c>
    </row>
    <row r="881" spans="1:3" x14ac:dyDescent="0.25">
      <c r="A881" t="s">
        <v>1180</v>
      </c>
      <c r="B881">
        <v>17.415949999999999</v>
      </c>
      <c r="C881" s="13">
        <v>0</v>
      </c>
    </row>
    <row r="882" spans="1:3" x14ac:dyDescent="0.25">
      <c r="A882" t="s">
        <v>1181</v>
      </c>
      <c r="B882">
        <v>9.8768139999999995</v>
      </c>
      <c r="C882" s="13">
        <v>1.407362</v>
      </c>
    </row>
    <row r="883" spans="1:3" x14ac:dyDescent="0.25">
      <c r="A883" t="s">
        <v>1182</v>
      </c>
      <c r="B883">
        <v>3.9304060000000001</v>
      </c>
      <c r="C883" s="13">
        <v>-3.153292</v>
      </c>
    </row>
    <row r="884" spans="1:3" x14ac:dyDescent="0.25">
      <c r="A884" t="s">
        <v>1183</v>
      </c>
      <c r="B884">
        <v>2.1289829999999998</v>
      </c>
      <c r="C884" s="13">
        <v>-4.1094869999999997</v>
      </c>
    </row>
    <row r="885" spans="1:3" x14ac:dyDescent="0.25">
      <c r="A885" t="s">
        <v>322</v>
      </c>
      <c r="B885">
        <v>14.105230000000001</v>
      </c>
      <c r="C885" s="13">
        <v>4.1140270000000001</v>
      </c>
    </row>
    <row r="886" spans="1:3" x14ac:dyDescent="0.25">
      <c r="A886" t="s">
        <v>1184</v>
      </c>
      <c r="B886">
        <v>11.62881</v>
      </c>
      <c r="C886" s="13">
        <v>0</v>
      </c>
    </row>
    <row r="887" spans="1:3" x14ac:dyDescent="0.25">
      <c r="A887" t="s">
        <v>1185</v>
      </c>
      <c r="B887">
        <v>23.365210000000001</v>
      </c>
      <c r="C887" s="13">
        <v>0</v>
      </c>
    </row>
    <row r="888" spans="1:3" x14ac:dyDescent="0.25">
      <c r="A888" t="s">
        <v>1186</v>
      </c>
      <c r="B888">
        <v>17.473780000000001</v>
      </c>
      <c r="C888" s="13">
        <v>0</v>
      </c>
    </row>
    <row r="889" spans="1:3" x14ac:dyDescent="0.25">
      <c r="A889" t="s">
        <v>1187</v>
      </c>
      <c r="B889">
        <v>33.005279999999999</v>
      </c>
      <c r="C889" s="13">
        <v>4.7029820000000004</v>
      </c>
    </row>
    <row r="890" spans="1:3" x14ac:dyDescent="0.25">
      <c r="A890" t="s">
        <v>1188</v>
      </c>
      <c r="B890">
        <v>11.160069999999999</v>
      </c>
      <c r="C890" s="13">
        <v>-3.2550240000000001</v>
      </c>
    </row>
    <row r="891" spans="1:3" x14ac:dyDescent="0.25">
      <c r="A891" t="s">
        <v>1189</v>
      </c>
      <c r="B891">
        <v>0</v>
      </c>
      <c r="C891" s="13">
        <v>0</v>
      </c>
    </row>
    <row r="892" spans="1:3" x14ac:dyDescent="0.25">
      <c r="A892" t="s">
        <v>323</v>
      </c>
      <c r="B892">
        <v>16.958259999999999</v>
      </c>
      <c r="C892" s="13">
        <v>3.4435229999999999</v>
      </c>
    </row>
    <row r="893" spans="1:3" x14ac:dyDescent="0.25">
      <c r="A893" t="s">
        <v>1190</v>
      </c>
      <c r="B893">
        <v>12.364660000000001</v>
      </c>
      <c r="C893" s="13">
        <v>0</v>
      </c>
    </row>
    <row r="894" spans="1:3" x14ac:dyDescent="0.25">
      <c r="A894" t="s">
        <v>1191</v>
      </c>
      <c r="B894">
        <v>9.582929</v>
      </c>
      <c r="C894" s="13">
        <v>1.3654839999999999</v>
      </c>
    </row>
    <row r="895" spans="1:3" x14ac:dyDescent="0.25">
      <c r="A895" t="s">
        <v>324</v>
      </c>
      <c r="B895">
        <v>16.057960000000001</v>
      </c>
      <c r="C895" s="13">
        <v>3.2607059999999999</v>
      </c>
    </row>
    <row r="896" spans="1:3" x14ac:dyDescent="0.25">
      <c r="A896" t="s">
        <v>1192</v>
      </c>
      <c r="B896">
        <v>16.37913</v>
      </c>
      <c r="C896" s="13">
        <v>2.3338990000000002</v>
      </c>
    </row>
    <row r="897" spans="1:3" x14ac:dyDescent="0.25">
      <c r="A897" t="s">
        <v>1193</v>
      </c>
      <c r="B897">
        <v>0</v>
      </c>
      <c r="C897" s="13">
        <v>0</v>
      </c>
    </row>
    <row r="898" spans="1:3" x14ac:dyDescent="0.25">
      <c r="A898" t="s">
        <v>329</v>
      </c>
      <c r="B898">
        <v>16.366389999999999</v>
      </c>
      <c r="C898" s="13">
        <v>0</v>
      </c>
    </row>
    <row r="899" spans="1:3" x14ac:dyDescent="0.25">
      <c r="A899" t="s">
        <v>1194</v>
      </c>
      <c r="B899">
        <v>16.262499999999999</v>
      </c>
      <c r="C899" s="13">
        <v>0</v>
      </c>
    </row>
    <row r="900" spans="1:3" x14ac:dyDescent="0.25">
      <c r="A900" t="s">
        <v>1195</v>
      </c>
      <c r="B900">
        <v>22.802219999999998</v>
      </c>
      <c r="C900" s="13">
        <v>0</v>
      </c>
    </row>
    <row r="901" spans="1:3" x14ac:dyDescent="0.25">
      <c r="A901" t="s">
        <v>1196</v>
      </c>
      <c r="B901">
        <v>17.663679999999999</v>
      </c>
      <c r="C901" s="13">
        <v>4.4269280000000002</v>
      </c>
    </row>
    <row r="902" spans="1:3" x14ac:dyDescent="0.25">
      <c r="A902" t="s">
        <v>1197</v>
      </c>
      <c r="B902">
        <v>3.7271190000000001</v>
      </c>
      <c r="C902" s="13">
        <v>4.716621</v>
      </c>
    </row>
    <row r="903" spans="1:3" x14ac:dyDescent="0.25">
      <c r="A903" t="s">
        <v>1198</v>
      </c>
      <c r="B903">
        <v>0.22956180000000001</v>
      </c>
      <c r="C903" s="13">
        <v>0.45556740000000001</v>
      </c>
    </row>
    <row r="904" spans="1:3" x14ac:dyDescent="0.25">
      <c r="A904" t="s">
        <v>1199</v>
      </c>
      <c r="B904">
        <v>3.344741</v>
      </c>
      <c r="C904" s="13">
        <v>0</v>
      </c>
    </row>
    <row r="905" spans="1:3" x14ac:dyDescent="0.25">
      <c r="A905" t="s">
        <v>1200</v>
      </c>
      <c r="B905">
        <v>3.2115480000000001</v>
      </c>
      <c r="C905" s="13">
        <v>0.65213540000000003</v>
      </c>
    </row>
    <row r="906" spans="1:3" x14ac:dyDescent="0.25">
      <c r="A906" t="s">
        <v>331</v>
      </c>
      <c r="B906">
        <v>3.4600879999999998</v>
      </c>
      <c r="C906" s="13">
        <v>0</v>
      </c>
    </row>
    <row r="907" spans="1:3" x14ac:dyDescent="0.25">
      <c r="A907" t="s">
        <v>1201</v>
      </c>
      <c r="B907">
        <v>0</v>
      </c>
      <c r="C907" s="13">
        <v>0</v>
      </c>
    </row>
    <row r="908" spans="1:3" x14ac:dyDescent="0.25">
      <c r="A908" t="s">
        <v>1202</v>
      </c>
      <c r="B908">
        <v>3.8538800000000002</v>
      </c>
      <c r="C908" s="13">
        <v>0.96587310000000004</v>
      </c>
    </row>
    <row r="909" spans="1:3" x14ac:dyDescent="0.25">
      <c r="A909" t="s">
        <v>1203</v>
      </c>
      <c r="B909">
        <v>11.757619999999999</v>
      </c>
      <c r="C909" s="13">
        <v>3.4293049999999998</v>
      </c>
    </row>
    <row r="910" spans="1:3" x14ac:dyDescent="0.25">
      <c r="A910" t="s">
        <v>333</v>
      </c>
      <c r="B910">
        <v>1.6621760000000001</v>
      </c>
      <c r="C910" s="13">
        <v>0.4848016</v>
      </c>
    </row>
    <row r="911" spans="1:3" x14ac:dyDescent="0.25">
      <c r="A911" t="s">
        <v>1204</v>
      </c>
      <c r="B911">
        <v>40.722369999999998</v>
      </c>
      <c r="C911" s="13">
        <v>5.8025789999999997</v>
      </c>
    </row>
    <row r="912" spans="1:3" x14ac:dyDescent="0.25">
      <c r="A912" t="s">
        <v>334</v>
      </c>
      <c r="B912">
        <v>7.712987</v>
      </c>
      <c r="C912" s="13">
        <v>1.566181</v>
      </c>
    </row>
    <row r="913" spans="1:3" x14ac:dyDescent="0.25">
      <c r="A913" t="s">
        <v>1205</v>
      </c>
      <c r="B913">
        <v>14.57943</v>
      </c>
      <c r="C913" s="13">
        <v>0</v>
      </c>
    </row>
    <row r="914" spans="1:3" x14ac:dyDescent="0.25">
      <c r="A914" t="s">
        <v>1206</v>
      </c>
      <c r="B914">
        <v>14.67352</v>
      </c>
      <c r="C914" s="13">
        <v>0</v>
      </c>
    </row>
    <row r="915" spans="1:3" x14ac:dyDescent="0.25">
      <c r="A915" t="s">
        <v>335</v>
      </c>
      <c r="B915">
        <v>0</v>
      </c>
      <c r="C915" s="13">
        <v>0</v>
      </c>
    </row>
    <row r="916" spans="1:3" x14ac:dyDescent="0.25">
      <c r="A916" t="s">
        <v>1207</v>
      </c>
      <c r="B916">
        <v>0</v>
      </c>
      <c r="C916" s="13">
        <v>0</v>
      </c>
    </row>
    <row r="917" spans="1:3" x14ac:dyDescent="0.25">
      <c r="A917" t="s">
        <v>1208</v>
      </c>
      <c r="B917">
        <v>0</v>
      </c>
      <c r="C917" s="13">
        <v>0</v>
      </c>
    </row>
    <row r="918" spans="1:3" x14ac:dyDescent="0.25">
      <c r="A918" t="s">
        <v>337</v>
      </c>
      <c r="B918">
        <v>7.68032</v>
      </c>
      <c r="C918" s="13">
        <v>-1.9248590000000001</v>
      </c>
    </row>
    <row r="919" spans="1:3" x14ac:dyDescent="0.25">
      <c r="A919" t="s">
        <v>1209</v>
      </c>
      <c r="B919">
        <v>8.9358029999999999</v>
      </c>
      <c r="C919" s="13">
        <v>-2.9370639999999999</v>
      </c>
    </row>
    <row r="920" spans="1:3" x14ac:dyDescent="0.25">
      <c r="A920" t="s">
        <v>1210</v>
      </c>
      <c r="B920">
        <v>0</v>
      </c>
      <c r="C920" s="13">
        <v>0</v>
      </c>
    </row>
    <row r="921" spans="1:3" x14ac:dyDescent="0.25">
      <c r="A921" t="s">
        <v>434</v>
      </c>
      <c r="B921">
        <v>36.566989999999997</v>
      </c>
      <c r="C921" s="13">
        <v>0</v>
      </c>
    </row>
    <row r="922" spans="1:3" x14ac:dyDescent="0.25">
      <c r="A922" t="s">
        <v>435</v>
      </c>
      <c r="B922">
        <v>35.735950000000003</v>
      </c>
      <c r="C922" s="13">
        <v>8.9562869999999997</v>
      </c>
    </row>
    <row r="923" spans="1:3" x14ac:dyDescent="0.25">
      <c r="A923" t="s">
        <v>436</v>
      </c>
      <c r="B923">
        <v>0</v>
      </c>
      <c r="C923" s="13">
        <v>0</v>
      </c>
    </row>
    <row r="924" spans="1:3" x14ac:dyDescent="0.25">
      <c r="A924" t="s">
        <v>1211</v>
      </c>
      <c r="B924">
        <v>0.2374696</v>
      </c>
      <c r="C924" s="13">
        <v>2.9588559999999999</v>
      </c>
    </row>
    <row r="925" spans="1:3" x14ac:dyDescent="0.25">
      <c r="A925" t="s">
        <v>1212</v>
      </c>
      <c r="B925">
        <v>50.688609999999997</v>
      </c>
      <c r="C925" s="13">
        <v>14.78421</v>
      </c>
    </row>
    <row r="926" spans="1:3" x14ac:dyDescent="0.25">
      <c r="A926" t="s">
        <v>339</v>
      </c>
      <c r="B926">
        <v>21.489000000000001</v>
      </c>
      <c r="C926" s="13">
        <v>7.0630870000000003</v>
      </c>
    </row>
    <row r="927" spans="1:3" x14ac:dyDescent="0.25">
      <c r="A927" t="s">
        <v>1213</v>
      </c>
      <c r="B927">
        <v>18.758430000000001</v>
      </c>
      <c r="C927" s="13">
        <v>5.4712079999999998</v>
      </c>
    </row>
    <row r="928" spans="1:3" x14ac:dyDescent="0.25">
      <c r="A928" t="s">
        <v>1214</v>
      </c>
      <c r="B928">
        <v>0.83103260000000001</v>
      </c>
      <c r="C928" s="13">
        <v>0.35401850000000001</v>
      </c>
    </row>
    <row r="929" spans="1:3" x14ac:dyDescent="0.25">
      <c r="A929" t="s">
        <v>1215</v>
      </c>
      <c r="B929">
        <v>11.56175</v>
      </c>
      <c r="C929" s="13">
        <v>1.647451</v>
      </c>
    </row>
    <row r="930" spans="1:3" x14ac:dyDescent="0.25">
      <c r="A930" t="s">
        <v>1216</v>
      </c>
      <c r="B930">
        <v>5.8318089999999998</v>
      </c>
      <c r="C930" s="13">
        <v>0.83099219999999996</v>
      </c>
    </row>
    <row r="931" spans="1:3" x14ac:dyDescent="0.25">
      <c r="A931" t="s">
        <v>1217</v>
      </c>
      <c r="B931">
        <v>6.3020810000000003</v>
      </c>
      <c r="C931" s="13">
        <v>3.0522360000000002</v>
      </c>
    </row>
    <row r="932" spans="1:3" x14ac:dyDescent="0.25">
      <c r="A932" t="s">
        <v>340</v>
      </c>
      <c r="B932">
        <v>5.5680500000000004</v>
      </c>
      <c r="C932" s="13">
        <v>3.596606</v>
      </c>
    </row>
    <row r="933" spans="1:3" x14ac:dyDescent="0.25">
      <c r="A933" t="s">
        <v>1218</v>
      </c>
      <c r="B933">
        <v>1.7664120000000001</v>
      </c>
      <c r="C933" s="13">
        <v>-0.25170179999999998</v>
      </c>
    </row>
    <row r="934" spans="1:3" x14ac:dyDescent="0.25">
      <c r="A934" t="s">
        <v>1219</v>
      </c>
      <c r="B934">
        <v>1.926995</v>
      </c>
      <c r="C934" s="13">
        <v>0.39129340000000001</v>
      </c>
    </row>
    <row r="935" spans="1:3" x14ac:dyDescent="0.25">
      <c r="A935" t="s">
        <v>1220</v>
      </c>
      <c r="B935">
        <v>5.3836729999999999</v>
      </c>
      <c r="C935" s="13">
        <v>1.3492759999999999</v>
      </c>
    </row>
    <row r="936" spans="1:3" x14ac:dyDescent="0.25">
      <c r="A936" t="s">
        <v>1221</v>
      </c>
      <c r="B936">
        <v>5.220459</v>
      </c>
      <c r="C936" s="13">
        <v>-1.06006</v>
      </c>
    </row>
    <row r="937" spans="1:3" x14ac:dyDescent="0.25">
      <c r="A937" t="s">
        <v>1222</v>
      </c>
      <c r="B937">
        <v>11.363989999999999</v>
      </c>
      <c r="C937" s="13">
        <v>2.3075559999999999</v>
      </c>
    </row>
    <row r="938" spans="1:3" x14ac:dyDescent="0.25">
      <c r="A938" t="s">
        <v>1223</v>
      </c>
      <c r="B938">
        <v>28.583100000000002</v>
      </c>
      <c r="C938" s="13">
        <v>-4.0728910000000003</v>
      </c>
    </row>
    <row r="939" spans="1:3" x14ac:dyDescent="0.25">
      <c r="A939" t="s">
        <v>1224</v>
      </c>
      <c r="B939">
        <v>1.926995</v>
      </c>
      <c r="C939" s="13">
        <v>0</v>
      </c>
    </row>
    <row r="940" spans="1:3" x14ac:dyDescent="0.25">
      <c r="A940" t="s">
        <v>1225</v>
      </c>
      <c r="B940">
        <v>0.80291460000000003</v>
      </c>
      <c r="C940" s="13">
        <v>-1.0430010000000001</v>
      </c>
    </row>
    <row r="941" spans="1:3" x14ac:dyDescent="0.25">
      <c r="A941" t="s">
        <v>1226</v>
      </c>
      <c r="B941">
        <v>0.48174869999999997</v>
      </c>
      <c r="C941" s="13">
        <v>-0.34877979999999997</v>
      </c>
    </row>
    <row r="942" spans="1:3" x14ac:dyDescent="0.25">
      <c r="A942" t="s">
        <v>1227</v>
      </c>
      <c r="B942">
        <v>2.4450400000000001</v>
      </c>
      <c r="C942" s="13">
        <v>0</v>
      </c>
    </row>
    <row r="943" spans="1:3" x14ac:dyDescent="0.25">
      <c r="A943" t="s">
        <v>1228</v>
      </c>
      <c r="B943">
        <v>11.213509999999999</v>
      </c>
      <c r="C943" s="13">
        <v>0</v>
      </c>
    </row>
    <row r="944" spans="1:3" x14ac:dyDescent="0.25">
      <c r="A944" t="s">
        <v>344</v>
      </c>
      <c r="B944">
        <v>12.920820000000001</v>
      </c>
      <c r="C944" s="13">
        <v>1.841108</v>
      </c>
    </row>
    <row r="945" spans="1:3" x14ac:dyDescent="0.25">
      <c r="A945" t="s">
        <v>345</v>
      </c>
      <c r="B945">
        <v>19.188420000000001</v>
      </c>
      <c r="C945" s="13">
        <v>0</v>
      </c>
    </row>
    <row r="946" spans="1:3" x14ac:dyDescent="0.25">
      <c r="A946" t="s">
        <v>1229</v>
      </c>
      <c r="B946">
        <v>17.965610000000002</v>
      </c>
      <c r="C946" s="13">
        <v>0</v>
      </c>
    </row>
    <row r="947" spans="1:3" x14ac:dyDescent="0.25">
      <c r="A947" t="s">
        <v>1230</v>
      </c>
      <c r="B947">
        <v>8.4654410000000002</v>
      </c>
      <c r="C947" s="13">
        <v>1.2062569999999999</v>
      </c>
    </row>
    <row r="948" spans="1:3" x14ac:dyDescent="0.25">
      <c r="A948" t="s">
        <v>1231</v>
      </c>
      <c r="B948">
        <v>0</v>
      </c>
      <c r="C948" s="13">
        <v>0</v>
      </c>
    </row>
    <row r="949" spans="1:3" x14ac:dyDescent="0.25">
      <c r="A949" t="s">
        <v>1232</v>
      </c>
      <c r="B949">
        <v>1.6930879999999999</v>
      </c>
      <c r="C949" s="13">
        <v>0</v>
      </c>
    </row>
    <row r="950" spans="1:3" x14ac:dyDescent="0.25">
      <c r="A950" t="s">
        <v>1233</v>
      </c>
      <c r="B950">
        <v>5.865291</v>
      </c>
      <c r="C950" s="13">
        <v>-2.3181080000000001</v>
      </c>
    </row>
    <row r="951" spans="1:3" x14ac:dyDescent="0.25">
      <c r="A951" t="s">
        <v>346</v>
      </c>
      <c r="B951">
        <v>9.4060749999999995</v>
      </c>
      <c r="C951" s="13">
        <v>0</v>
      </c>
    </row>
    <row r="952" spans="1:3" x14ac:dyDescent="0.25">
      <c r="A952" t="s">
        <v>1234</v>
      </c>
      <c r="B952">
        <v>4.014462</v>
      </c>
      <c r="C952" s="13">
        <v>4.2111669999999997</v>
      </c>
    </row>
    <row r="953" spans="1:3" x14ac:dyDescent="0.25">
      <c r="A953" t="s">
        <v>1235</v>
      </c>
      <c r="B953">
        <v>47.049799999999998</v>
      </c>
      <c r="C953" s="13">
        <v>0</v>
      </c>
    </row>
    <row r="954" spans="1:3" x14ac:dyDescent="0.25">
      <c r="A954" t="s">
        <v>1236</v>
      </c>
      <c r="B954">
        <v>0</v>
      </c>
      <c r="C954" s="13">
        <v>0</v>
      </c>
    </row>
    <row r="955" spans="1:3" x14ac:dyDescent="0.25">
      <c r="A955" t="s">
        <v>1237</v>
      </c>
      <c r="B955">
        <v>3.7624490000000002</v>
      </c>
      <c r="C955" s="13">
        <v>1.487015</v>
      </c>
    </row>
    <row r="956" spans="1:3" x14ac:dyDescent="0.25">
      <c r="A956" t="s">
        <v>1238</v>
      </c>
      <c r="B956">
        <v>0.28218140000000003</v>
      </c>
      <c r="C956" s="13">
        <v>2.3345189999999998</v>
      </c>
    </row>
    <row r="957" spans="1:3" x14ac:dyDescent="0.25">
      <c r="A957" t="s">
        <v>296</v>
      </c>
      <c r="B957">
        <v>12.58478</v>
      </c>
      <c r="C957" s="13">
        <v>1.7932330000000001</v>
      </c>
    </row>
    <row r="958" spans="1:3" x14ac:dyDescent="0.25">
      <c r="A958" t="s">
        <v>1239</v>
      </c>
      <c r="B958">
        <v>11.6349</v>
      </c>
      <c r="C958" s="13">
        <v>2.362568</v>
      </c>
    </row>
    <row r="959" spans="1:3" x14ac:dyDescent="0.25">
      <c r="A959" t="s">
        <v>1240</v>
      </c>
      <c r="B959">
        <v>0</v>
      </c>
      <c r="C959" s="13">
        <v>0</v>
      </c>
    </row>
    <row r="960" spans="1:3" x14ac:dyDescent="0.25">
      <c r="A960" t="s">
        <v>1241</v>
      </c>
      <c r="B960">
        <v>11.753640000000001</v>
      </c>
      <c r="C960" s="13">
        <v>0</v>
      </c>
    </row>
    <row r="961" spans="1:3" x14ac:dyDescent="0.25">
      <c r="A961" t="s">
        <v>1242</v>
      </c>
      <c r="B961">
        <v>5.5496270000000001</v>
      </c>
      <c r="C961" s="13">
        <v>0</v>
      </c>
    </row>
    <row r="962" spans="1:3" x14ac:dyDescent="0.25">
      <c r="A962" t="s">
        <v>1243</v>
      </c>
      <c r="B962">
        <v>5.925808</v>
      </c>
      <c r="C962" s="13">
        <v>-1.9477199999999999</v>
      </c>
    </row>
    <row r="963" spans="1:3" x14ac:dyDescent="0.25">
      <c r="A963" t="s">
        <v>1244</v>
      </c>
      <c r="B963">
        <v>4.7970829999999998</v>
      </c>
      <c r="C963" s="13">
        <v>2.4576190000000002</v>
      </c>
    </row>
    <row r="964" spans="1:3" x14ac:dyDescent="0.25">
      <c r="A964" t="s">
        <v>1245</v>
      </c>
      <c r="B964">
        <v>8.3985099999999999</v>
      </c>
      <c r="C964" s="13">
        <v>-32.527290000000001</v>
      </c>
    </row>
    <row r="965" spans="1:3" x14ac:dyDescent="0.25">
      <c r="A965" t="s">
        <v>1246</v>
      </c>
      <c r="B965">
        <v>11.198079999999999</v>
      </c>
      <c r="C965" s="13">
        <v>-32.03266</v>
      </c>
    </row>
    <row r="966" spans="1:3" x14ac:dyDescent="0.25">
      <c r="A966" t="s">
        <v>1247</v>
      </c>
      <c r="B966">
        <v>16.04344</v>
      </c>
      <c r="C966" s="13">
        <v>2.2860610000000001</v>
      </c>
    </row>
    <row r="967" spans="1:3" x14ac:dyDescent="0.25">
      <c r="A967" t="s">
        <v>1248</v>
      </c>
      <c r="B967">
        <v>0.80291460000000003</v>
      </c>
      <c r="C967" s="13">
        <v>1.1573869999999999</v>
      </c>
    </row>
    <row r="968" spans="1:3" x14ac:dyDescent="0.25">
      <c r="A968" t="s">
        <v>1249</v>
      </c>
      <c r="B968">
        <v>6.3491400000000002</v>
      </c>
      <c r="C968" s="13">
        <v>0.90469750000000004</v>
      </c>
    </row>
    <row r="969" spans="1:3" x14ac:dyDescent="0.25">
      <c r="A969" t="s">
        <v>348</v>
      </c>
      <c r="B969">
        <v>6.8911420000000003</v>
      </c>
      <c r="C969" s="13">
        <v>0</v>
      </c>
    </row>
    <row r="970" spans="1:3" x14ac:dyDescent="0.25">
      <c r="A970" t="s">
        <v>1250</v>
      </c>
      <c r="B970">
        <v>6.9988260000000002</v>
      </c>
      <c r="C970" s="13">
        <v>-0.99727639999999995</v>
      </c>
    </row>
    <row r="971" spans="1:3" x14ac:dyDescent="0.25">
      <c r="A971" t="s">
        <v>1251</v>
      </c>
      <c r="B971">
        <v>2.1289829999999998</v>
      </c>
      <c r="C971" s="13">
        <v>1.430685</v>
      </c>
    </row>
    <row r="972" spans="1:3" x14ac:dyDescent="0.25">
      <c r="A972" t="s">
        <v>352</v>
      </c>
      <c r="B972">
        <v>29.08736</v>
      </c>
      <c r="C972" s="13">
        <v>4.1447500000000002</v>
      </c>
    </row>
    <row r="973" spans="1:3" x14ac:dyDescent="0.25">
      <c r="A973" t="s">
        <v>1252</v>
      </c>
      <c r="B973">
        <v>0</v>
      </c>
      <c r="C973" s="13">
        <v>0</v>
      </c>
    </row>
    <row r="974" spans="1:3" x14ac:dyDescent="0.25">
      <c r="A974" t="s">
        <v>1253</v>
      </c>
      <c r="B974">
        <v>26.212599999999998</v>
      </c>
      <c r="C974" s="13">
        <v>3.7351109999999998</v>
      </c>
    </row>
    <row r="975" spans="1:3" x14ac:dyDescent="0.25">
      <c r="A975" t="s">
        <v>1254</v>
      </c>
      <c r="B975">
        <v>3.5411090000000001</v>
      </c>
      <c r="C975" s="13">
        <v>0.50458239999999999</v>
      </c>
    </row>
    <row r="976" spans="1:3" x14ac:dyDescent="0.25">
      <c r="A976" t="s">
        <v>354</v>
      </c>
      <c r="B976">
        <v>13.6388</v>
      </c>
      <c r="C976" s="13">
        <v>8.0927810000000004</v>
      </c>
    </row>
    <row r="977" spans="1:3" x14ac:dyDescent="0.25">
      <c r="A977" t="s">
        <v>437</v>
      </c>
      <c r="B977">
        <v>7.4796259999999997</v>
      </c>
      <c r="C977" s="13">
        <v>2.7147429999999999</v>
      </c>
    </row>
    <row r="978" spans="1:3" x14ac:dyDescent="0.25">
      <c r="A978" t="s">
        <v>438</v>
      </c>
      <c r="B978">
        <v>30.393329999999999</v>
      </c>
      <c r="C978" s="13">
        <v>9.9582929999999994</v>
      </c>
    </row>
    <row r="979" spans="1:3" x14ac:dyDescent="0.25">
      <c r="A979" t="s">
        <v>1255</v>
      </c>
      <c r="B979">
        <v>0</v>
      </c>
      <c r="C979" s="13">
        <v>0</v>
      </c>
    </row>
    <row r="980" spans="1:3" x14ac:dyDescent="0.25">
      <c r="A980" t="s">
        <v>1256</v>
      </c>
      <c r="B980">
        <v>24.607800000000001</v>
      </c>
      <c r="C980" s="13">
        <v>7.1772770000000001</v>
      </c>
    </row>
    <row r="981" spans="1:3" x14ac:dyDescent="0.25">
      <c r="A981" t="s">
        <v>1257</v>
      </c>
      <c r="B981">
        <v>5.2991260000000002</v>
      </c>
      <c r="C981" s="13">
        <v>-0.75508679999999995</v>
      </c>
    </row>
    <row r="982" spans="1:3" x14ac:dyDescent="0.25">
      <c r="A982" t="s">
        <v>353</v>
      </c>
      <c r="B982">
        <v>1.598997</v>
      </c>
      <c r="C982" s="13">
        <v>1.3249740000000001</v>
      </c>
    </row>
    <row r="983" spans="1:3" x14ac:dyDescent="0.25">
      <c r="A983" t="s">
        <v>1258</v>
      </c>
      <c r="B983">
        <v>54.742849999999997</v>
      </c>
      <c r="C983" s="13">
        <v>0</v>
      </c>
    </row>
    <row r="984" spans="1:3" x14ac:dyDescent="0.25">
      <c r="A984" t="s">
        <v>1259</v>
      </c>
      <c r="B984">
        <v>0.1221957</v>
      </c>
      <c r="C984" s="13">
        <v>6.1085609999999999</v>
      </c>
    </row>
    <row r="985" spans="1:3" x14ac:dyDescent="0.25">
      <c r="A985" t="s">
        <v>1260</v>
      </c>
      <c r="B985">
        <v>55.598219999999998</v>
      </c>
      <c r="C985" s="13">
        <v>7.922307</v>
      </c>
    </row>
    <row r="986" spans="1:3" x14ac:dyDescent="0.25">
      <c r="A986" t="s">
        <v>355</v>
      </c>
      <c r="B986">
        <v>5.8318089999999998</v>
      </c>
      <c r="C986" s="13">
        <v>3.1476760000000001</v>
      </c>
    </row>
    <row r="987" spans="1:3" x14ac:dyDescent="0.25">
      <c r="A987" t="s">
        <v>356</v>
      </c>
      <c r="B987">
        <v>18.529969999999999</v>
      </c>
      <c r="C987" s="13">
        <v>0</v>
      </c>
    </row>
    <row r="988" spans="1:3" x14ac:dyDescent="0.25">
      <c r="A988" t="s">
        <v>1261</v>
      </c>
      <c r="B988">
        <v>0.1880906</v>
      </c>
      <c r="C988" s="13">
        <v>0.38387480000000002</v>
      </c>
    </row>
    <row r="989" spans="1:3" x14ac:dyDescent="0.25">
      <c r="A989" t="s">
        <v>357</v>
      </c>
      <c r="B989">
        <v>17.58943</v>
      </c>
      <c r="C989" s="13">
        <v>0</v>
      </c>
    </row>
    <row r="990" spans="1:3" x14ac:dyDescent="0.25">
      <c r="A990" t="s">
        <v>1262</v>
      </c>
      <c r="B990">
        <v>0</v>
      </c>
      <c r="C990" s="13">
        <v>0</v>
      </c>
    </row>
    <row r="991" spans="1:3" x14ac:dyDescent="0.25">
      <c r="A991" t="s">
        <v>1263</v>
      </c>
      <c r="B991">
        <v>0</v>
      </c>
      <c r="C991" s="13">
        <v>0</v>
      </c>
    </row>
    <row r="992" spans="1:3" x14ac:dyDescent="0.25">
      <c r="A992" t="s">
        <v>1264</v>
      </c>
      <c r="B992">
        <v>3.5617109999999998</v>
      </c>
      <c r="C992" s="13">
        <v>-4.2761389999999997</v>
      </c>
    </row>
    <row r="993" spans="1:3" x14ac:dyDescent="0.25">
      <c r="A993" t="s">
        <v>1265</v>
      </c>
      <c r="B993">
        <v>0.48174869999999997</v>
      </c>
      <c r="C993" s="13">
        <v>2.792567</v>
      </c>
    </row>
    <row r="994" spans="1:3" x14ac:dyDescent="0.25">
      <c r="A994" t="s">
        <v>1266</v>
      </c>
      <c r="B994">
        <v>0</v>
      </c>
      <c r="C994" s="13">
        <v>0</v>
      </c>
    </row>
    <row r="995" spans="1:3" x14ac:dyDescent="0.25">
      <c r="A995" t="s">
        <v>1267</v>
      </c>
      <c r="B995">
        <v>5.0792650000000004</v>
      </c>
      <c r="C995" s="13">
        <v>-2.7414960000000002</v>
      </c>
    </row>
    <row r="996" spans="1:3" x14ac:dyDescent="0.25">
      <c r="A996" t="s">
        <v>1268</v>
      </c>
      <c r="B996">
        <v>4.4962109999999997</v>
      </c>
      <c r="C996" s="13">
        <v>-1.7770170000000001</v>
      </c>
    </row>
    <row r="997" spans="1:3" x14ac:dyDescent="0.25">
      <c r="A997" t="s">
        <v>1269</v>
      </c>
      <c r="B997">
        <v>0</v>
      </c>
      <c r="C997" s="13">
        <v>0</v>
      </c>
    </row>
    <row r="998" spans="1:3" x14ac:dyDescent="0.25">
      <c r="A998" t="s">
        <v>1270</v>
      </c>
      <c r="B998">
        <v>7.9951689999999997</v>
      </c>
      <c r="C998" s="13">
        <v>-2.003781</v>
      </c>
    </row>
    <row r="999" spans="1:3" x14ac:dyDescent="0.25">
      <c r="A999" t="s">
        <v>1271</v>
      </c>
      <c r="B999">
        <v>2.2574510000000001</v>
      </c>
      <c r="C999" s="13">
        <v>-0.32166800000000001</v>
      </c>
    </row>
    <row r="1000" spans="1:3" x14ac:dyDescent="0.25">
      <c r="A1000" t="s">
        <v>1272</v>
      </c>
      <c r="B1000">
        <v>2.2574510000000001</v>
      </c>
      <c r="C1000" s="13">
        <v>-0.32166800000000001</v>
      </c>
    </row>
    <row r="1001" spans="1:3" x14ac:dyDescent="0.25">
      <c r="A1001" t="s">
        <v>358</v>
      </c>
      <c r="B1001">
        <v>0</v>
      </c>
      <c r="C1001" s="13">
        <v>0</v>
      </c>
    </row>
    <row r="1002" spans="1:3" x14ac:dyDescent="0.25">
      <c r="A1002" t="s">
        <v>439</v>
      </c>
      <c r="B1002">
        <v>12.10984</v>
      </c>
      <c r="C1002" s="13">
        <v>0</v>
      </c>
    </row>
    <row r="1003" spans="1:3" x14ac:dyDescent="0.25">
      <c r="A1003" t="s">
        <v>440</v>
      </c>
      <c r="B1003">
        <v>14.959250000000001</v>
      </c>
      <c r="C1003" s="13">
        <v>5.9122709999999996</v>
      </c>
    </row>
    <row r="1004" spans="1:3" x14ac:dyDescent="0.25">
      <c r="A1004" t="s">
        <v>441</v>
      </c>
      <c r="B1004">
        <v>21.845210000000002</v>
      </c>
      <c r="C1004" s="13">
        <v>4.4358769999999996</v>
      </c>
    </row>
    <row r="1005" spans="1:3" x14ac:dyDescent="0.25">
      <c r="A1005" t="s">
        <v>442</v>
      </c>
      <c r="B1005">
        <v>16.858789999999999</v>
      </c>
      <c r="C1005" s="13">
        <v>2.4022389999999998</v>
      </c>
    </row>
    <row r="1006" spans="1:3" x14ac:dyDescent="0.25">
      <c r="A1006" t="s">
        <v>1273</v>
      </c>
      <c r="B1006">
        <v>1.7664120000000001</v>
      </c>
      <c r="C1006" s="13">
        <v>0</v>
      </c>
    </row>
    <row r="1007" spans="1:3" x14ac:dyDescent="0.25">
      <c r="A1007" t="s">
        <v>1274</v>
      </c>
      <c r="B1007">
        <v>5.4597090000000001</v>
      </c>
      <c r="C1007" s="13">
        <v>0</v>
      </c>
    </row>
    <row r="1008" spans="1:3" x14ac:dyDescent="0.25">
      <c r="A1008" t="s">
        <v>359</v>
      </c>
      <c r="B1008">
        <v>9.0446109999999997</v>
      </c>
      <c r="C1008" s="13">
        <v>0</v>
      </c>
    </row>
    <row r="1009" spans="1:3" x14ac:dyDescent="0.25">
      <c r="A1009" t="s">
        <v>360</v>
      </c>
      <c r="B1009">
        <v>15.6127</v>
      </c>
      <c r="C1009" s="13">
        <v>2.2246739999999998</v>
      </c>
    </row>
    <row r="1010" spans="1:3" x14ac:dyDescent="0.25">
      <c r="A1010" t="s">
        <v>361</v>
      </c>
      <c r="B1010">
        <v>4.2861929999999999</v>
      </c>
      <c r="C1010" s="13">
        <v>5.5678450000000002</v>
      </c>
    </row>
    <row r="1011" spans="1:3" x14ac:dyDescent="0.25">
      <c r="A1011" t="s">
        <v>1275</v>
      </c>
      <c r="B1011">
        <v>3.0509650000000001</v>
      </c>
      <c r="C1011" s="13">
        <v>0</v>
      </c>
    </row>
    <row r="1012" spans="1:3" x14ac:dyDescent="0.25">
      <c r="A1012" t="s">
        <v>1276</v>
      </c>
      <c r="B1012">
        <v>3.0509650000000001</v>
      </c>
      <c r="C1012" s="13">
        <v>0</v>
      </c>
    </row>
    <row r="1013" spans="1:3" x14ac:dyDescent="0.25">
      <c r="A1013" t="s">
        <v>1277</v>
      </c>
      <c r="B1013">
        <v>0.92010000000000003</v>
      </c>
      <c r="C1013" s="13">
        <v>0.1311069</v>
      </c>
    </row>
    <row r="1014" spans="1:3" x14ac:dyDescent="0.25">
      <c r="A1014" t="s">
        <v>1278</v>
      </c>
      <c r="B1014">
        <v>12.59787</v>
      </c>
      <c r="C1014" s="13">
        <v>3.157311</v>
      </c>
    </row>
    <row r="1015" spans="1:3" x14ac:dyDescent="0.25">
      <c r="A1015" t="s">
        <v>1279</v>
      </c>
      <c r="B1015">
        <v>4.5223050000000002</v>
      </c>
      <c r="C1015" s="13">
        <v>1.3190040000000001</v>
      </c>
    </row>
    <row r="1016" spans="1:3" x14ac:dyDescent="0.25">
      <c r="A1016" t="s">
        <v>1280</v>
      </c>
      <c r="B1016">
        <v>5.2991260000000002</v>
      </c>
      <c r="C1016" s="13">
        <v>0</v>
      </c>
    </row>
    <row r="1017" spans="1:3" x14ac:dyDescent="0.25">
      <c r="A1017" t="s">
        <v>1281</v>
      </c>
      <c r="B1017">
        <v>0.1605829</v>
      </c>
      <c r="C1017" s="13">
        <v>-0.11626</v>
      </c>
    </row>
    <row r="1018" spans="1:3" x14ac:dyDescent="0.25">
      <c r="A1018" t="s">
        <v>1282</v>
      </c>
      <c r="B1018">
        <v>0</v>
      </c>
      <c r="C1018" s="13">
        <v>0</v>
      </c>
    </row>
    <row r="1019" spans="1:3" x14ac:dyDescent="0.25">
      <c r="A1019" t="s">
        <v>1283</v>
      </c>
      <c r="B1019">
        <v>2.5692159999999999</v>
      </c>
      <c r="C1019" s="13">
        <v>0</v>
      </c>
    </row>
    <row r="1020" spans="1:3" x14ac:dyDescent="0.25">
      <c r="A1020" t="s">
        <v>362</v>
      </c>
      <c r="B1020">
        <v>20.875340000000001</v>
      </c>
      <c r="C1020" s="13">
        <v>4.2389169999999998</v>
      </c>
    </row>
    <row r="1021" spans="1:3" x14ac:dyDescent="0.25">
      <c r="A1021" t="s">
        <v>1284</v>
      </c>
      <c r="B1021">
        <v>9.9559200000000008</v>
      </c>
      <c r="C1021" s="13">
        <v>2.9038140000000001</v>
      </c>
    </row>
    <row r="1022" spans="1:3" x14ac:dyDescent="0.25">
      <c r="A1022" t="s">
        <v>363</v>
      </c>
      <c r="B1022">
        <v>40.603639999999999</v>
      </c>
      <c r="C1022" s="13">
        <v>0</v>
      </c>
    </row>
    <row r="1023" spans="1:3" x14ac:dyDescent="0.25">
      <c r="A1023" t="s">
        <v>1285</v>
      </c>
      <c r="B1023">
        <v>12.70351</v>
      </c>
      <c r="C1023" s="13">
        <v>-2.5795629999999998</v>
      </c>
    </row>
    <row r="1024" spans="1:3" x14ac:dyDescent="0.25">
      <c r="A1024" t="s">
        <v>1286</v>
      </c>
      <c r="B1024">
        <v>36.590699999999998</v>
      </c>
      <c r="C1024" s="13">
        <v>0</v>
      </c>
    </row>
    <row r="1025" spans="1:3" x14ac:dyDescent="0.25">
      <c r="A1025" t="s">
        <v>1287</v>
      </c>
      <c r="B1025">
        <v>38.703989999999997</v>
      </c>
      <c r="C1025" s="13">
        <v>0</v>
      </c>
    </row>
    <row r="1026" spans="1:3" x14ac:dyDescent="0.25">
      <c r="A1026" t="s">
        <v>445</v>
      </c>
      <c r="B1026">
        <v>13.488630000000001</v>
      </c>
      <c r="C1026" s="13">
        <v>0</v>
      </c>
    </row>
    <row r="1027" spans="1:3" x14ac:dyDescent="0.25">
      <c r="A1027" t="s">
        <v>365</v>
      </c>
      <c r="B1027">
        <v>8.379448</v>
      </c>
      <c r="C1027" s="13">
        <v>1.4446840000000001</v>
      </c>
    </row>
    <row r="1028" spans="1:3" x14ac:dyDescent="0.25">
      <c r="A1028" t="s">
        <v>1288</v>
      </c>
      <c r="B1028">
        <v>3.372131</v>
      </c>
      <c r="C1028" s="13">
        <v>0.84513459999999996</v>
      </c>
    </row>
    <row r="1029" spans="1:3" x14ac:dyDescent="0.25">
      <c r="A1029" t="s">
        <v>1289</v>
      </c>
      <c r="B1029">
        <v>0</v>
      </c>
      <c r="C1029" s="13">
        <v>0</v>
      </c>
    </row>
    <row r="1030" spans="1:3" x14ac:dyDescent="0.25">
      <c r="A1030" t="s">
        <v>1290</v>
      </c>
      <c r="B1030">
        <v>0.215367</v>
      </c>
      <c r="C1030" s="13">
        <v>-0.83411299999999999</v>
      </c>
    </row>
    <row r="1031" spans="1:3" x14ac:dyDescent="0.25">
      <c r="A1031" t="s">
        <v>1291</v>
      </c>
      <c r="B1031">
        <v>0.32305060000000002</v>
      </c>
      <c r="C1031" s="13">
        <v>-0.95644960000000001</v>
      </c>
    </row>
    <row r="1032" spans="1:3" x14ac:dyDescent="0.25">
      <c r="A1032" t="s">
        <v>1292</v>
      </c>
      <c r="B1032">
        <v>2.8218139999999998</v>
      </c>
      <c r="C1032" s="13">
        <v>-1.4456580000000001</v>
      </c>
    </row>
    <row r="1033" spans="1:3" x14ac:dyDescent="0.25">
      <c r="A1033" t="s">
        <v>1293</v>
      </c>
      <c r="B1033">
        <v>0</v>
      </c>
      <c r="C1033" s="13">
        <v>0</v>
      </c>
    </row>
    <row r="1034" spans="1:3" x14ac:dyDescent="0.25">
      <c r="A1034" t="s">
        <v>1294</v>
      </c>
      <c r="B1034">
        <v>2.0498980000000002</v>
      </c>
      <c r="C1034" s="13">
        <v>-0.99281109999999995</v>
      </c>
    </row>
    <row r="1035" spans="1:3" x14ac:dyDescent="0.25">
      <c r="A1035" t="s">
        <v>1295</v>
      </c>
      <c r="B1035">
        <v>12.16713</v>
      </c>
      <c r="C1035" s="13">
        <v>0</v>
      </c>
    </row>
    <row r="1036" spans="1:3" x14ac:dyDescent="0.25">
      <c r="A1036" t="s">
        <v>1296</v>
      </c>
      <c r="B1036">
        <v>3.7686220000000001</v>
      </c>
      <c r="C1036" s="13">
        <v>0.7652506</v>
      </c>
    </row>
    <row r="1037" spans="1:3" x14ac:dyDescent="0.25">
      <c r="A1037" t="s">
        <v>1297</v>
      </c>
      <c r="B1037">
        <v>11.6349</v>
      </c>
      <c r="C1037" s="13">
        <v>1.6578710000000001</v>
      </c>
    </row>
    <row r="1038" spans="1:3" x14ac:dyDescent="0.25">
      <c r="A1038" t="s">
        <v>1298</v>
      </c>
      <c r="B1038">
        <v>7.0046869999999997</v>
      </c>
      <c r="C1038" s="13">
        <v>0</v>
      </c>
    </row>
    <row r="1039" spans="1:3" x14ac:dyDescent="0.25">
      <c r="A1039" t="s">
        <v>368</v>
      </c>
      <c r="B1039">
        <v>41.434669999999997</v>
      </c>
      <c r="C1039" s="13">
        <v>15.038790000000001</v>
      </c>
    </row>
    <row r="1040" spans="1:3" x14ac:dyDescent="0.25">
      <c r="A1040" t="s">
        <v>1299</v>
      </c>
      <c r="B1040">
        <v>7.7170959999999997</v>
      </c>
      <c r="C1040" s="13">
        <v>2.800932</v>
      </c>
    </row>
    <row r="1041" spans="1:3" x14ac:dyDescent="0.25">
      <c r="A1041" t="s">
        <v>1300</v>
      </c>
      <c r="B1041">
        <v>7.7077590000000002</v>
      </c>
      <c r="C1041" s="13">
        <v>3.9488029999999998</v>
      </c>
    </row>
    <row r="1042" spans="1:3" x14ac:dyDescent="0.25">
      <c r="A1042" t="s">
        <v>1301</v>
      </c>
      <c r="B1042">
        <v>6.9837999999999996</v>
      </c>
      <c r="C1042" s="13">
        <v>3.5779070000000002</v>
      </c>
    </row>
    <row r="1043" spans="1:3" x14ac:dyDescent="0.25">
      <c r="A1043" t="s">
        <v>1302</v>
      </c>
      <c r="B1043">
        <v>5.4597090000000001</v>
      </c>
      <c r="C1043" s="13">
        <v>1.368331</v>
      </c>
    </row>
    <row r="1044" spans="1:3" x14ac:dyDescent="0.25">
      <c r="A1044" t="s">
        <v>447</v>
      </c>
      <c r="B1044">
        <v>42.859380000000002</v>
      </c>
      <c r="C1044" s="13">
        <v>9.7217070000000003</v>
      </c>
    </row>
    <row r="1045" spans="1:3" x14ac:dyDescent="0.25">
      <c r="A1045" t="s">
        <v>448</v>
      </c>
      <c r="B1045">
        <v>15.790290000000001</v>
      </c>
      <c r="C1045" s="13">
        <v>-7.6475819999999999</v>
      </c>
    </row>
    <row r="1046" spans="1:3" x14ac:dyDescent="0.25">
      <c r="A1046" t="s">
        <v>1303</v>
      </c>
      <c r="B1046">
        <v>33.124009999999998</v>
      </c>
      <c r="C1046" s="13">
        <v>6.7261309999999996</v>
      </c>
    </row>
    <row r="1047" spans="1:3" x14ac:dyDescent="0.25">
      <c r="A1047" t="s">
        <v>1304</v>
      </c>
      <c r="B1047">
        <v>34.073779999999999</v>
      </c>
      <c r="C1047" s="13">
        <v>-6.9189639999999999</v>
      </c>
    </row>
    <row r="1048" spans="1:3" x14ac:dyDescent="0.25">
      <c r="A1048" t="s">
        <v>1305</v>
      </c>
      <c r="B1048">
        <v>37.125599999999999</v>
      </c>
      <c r="C1048" s="13">
        <v>9.3045460000000002</v>
      </c>
    </row>
    <row r="1049" spans="1:3" x14ac:dyDescent="0.25">
      <c r="A1049" t="s">
        <v>369</v>
      </c>
      <c r="B1049">
        <v>8.1832440000000002</v>
      </c>
      <c r="C1049" s="13">
        <v>0</v>
      </c>
    </row>
    <row r="1050" spans="1:3" x14ac:dyDescent="0.25">
      <c r="A1050" t="s">
        <v>1306</v>
      </c>
      <c r="B1050">
        <v>16.539709999999999</v>
      </c>
      <c r="C1050" s="13">
        <v>2.3567740000000001</v>
      </c>
    </row>
    <row r="1051" spans="1:3" x14ac:dyDescent="0.25">
      <c r="A1051" t="s">
        <v>1307</v>
      </c>
      <c r="B1051">
        <v>11.40117</v>
      </c>
      <c r="C1051" s="13">
        <v>1.6245590000000001</v>
      </c>
    </row>
    <row r="1052" spans="1:3" x14ac:dyDescent="0.25">
      <c r="A1052" t="s">
        <v>1308</v>
      </c>
      <c r="B1052">
        <v>0.1605829</v>
      </c>
      <c r="C1052" s="13">
        <v>0.2314774</v>
      </c>
    </row>
    <row r="1053" spans="1:3" x14ac:dyDescent="0.25">
      <c r="A1053" t="s">
        <v>1309</v>
      </c>
      <c r="B1053">
        <v>2.8903819999999998</v>
      </c>
      <c r="C1053" s="13">
        <v>0.4118559</v>
      </c>
    </row>
    <row r="1054" spans="1:3" x14ac:dyDescent="0.25">
      <c r="A1054" t="s">
        <v>1310</v>
      </c>
      <c r="B1054">
        <v>0</v>
      </c>
      <c r="C1054" s="13">
        <v>0</v>
      </c>
    </row>
    <row r="1055" spans="1:3" x14ac:dyDescent="0.25">
      <c r="A1055" t="s">
        <v>1311</v>
      </c>
      <c r="B1055">
        <v>2.3688359999999999</v>
      </c>
      <c r="C1055" s="13">
        <v>1.653459</v>
      </c>
    </row>
    <row r="1056" spans="1:3" x14ac:dyDescent="0.25">
      <c r="A1056" t="s">
        <v>370</v>
      </c>
      <c r="B1056">
        <v>37.635489999999997</v>
      </c>
      <c r="C1056" s="13">
        <v>0</v>
      </c>
    </row>
    <row r="1057" spans="1:3" x14ac:dyDescent="0.25">
      <c r="A1057" t="s">
        <v>1312</v>
      </c>
      <c r="B1057">
        <v>28.139620000000001</v>
      </c>
      <c r="C1057" s="13">
        <v>4.0096470000000002</v>
      </c>
    </row>
    <row r="1058" spans="1:3" x14ac:dyDescent="0.25">
      <c r="A1058" t="s">
        <v>371</v>
      </c>
      <c r="B1058">
        <v>11.991099999999999</v>
      </c>
      <c r="C1058" s="13">
        <v>4.3521900000000002</v>
      </c>
    </row>
    <row r="1059" spans="1:3" x14ac:dyDescent="0.25">
      <c r="A1059" t="s">
        <v>1313</v>
      </c>
      <c r="B1059">
        <v>21.43085</v>
      </c>
      <c r="C1059" s="13">
        <v>3.0537529999999999</v>
      </c>
    </row>
    <row r="1060" spans="1:3" x14ac:dyDescent="0.25">
      <c r="A1060" t="s">
        <v>372</v>
      </c>
      <c r="B1060">
        <v>39.653869999999998</v>
      </c>
      <c r="C1060" s="13">
        <v>14.392429999999999</v>
      </c>
    </row>
    <row r="1061" spans="1:3" x14ac:dyDescent="0.25">
      <c r="A1061" t="s">
        <v>1314</v>
      </c>
      <c r="B1061">
        <v>21.05817</v>
      </c>
      <c r="C1061" s="13">
        <v>0</v>
      </c>
    </row>
    <row r="1062" spans="1:3" x14ac:dyDescent="0.25">
      <c r="A1062" t="s">
        <v>450</v>
      </c>
      <c r="B1062">
        <v>12.94087</v>
      </c>
      <c r="C1062" s="13">
        <v>4.253463</v>
      </c>
    </row>
    <row r="1063" spans="1:3" x14ac:dyDescent="0.25">
      <c r="A1063" t="s">
        <v>373</v>
      </c>
      <c r="B1063">
        <v>18.639700000000001</v>
      </c>
      <c r="C1063" s="13">
        <v>3.7849569999999999</v>
      </c>
    </row>
    <row r="1064" spans="1:3" x14ac:dyDescent="0.25">
      <c r="A1064" t="s">
        <v>374</v>
      </c>
      <c r="B1064">
        <v>16.265219999999999</v>
      </c>
      <c r="C1064" s="13">
        <v>4.7440369999999996</v>
      </c>
    </row>
    <row r="1065" spans="1:3" x14ac:dyDescent="0.25">
      <c r="A1065" t="s">
        <v>375</v>
      </c>
      <c r="B1065">
        <v>20.301760000000002</v>
      </c>
      <c r="C1065" s="13">
        <v>2.8928470000000002</v>
      </c>
    </row>
    <row r="1066" spans="1:3" x14ac:dyDescent="0.25">
      <c r="A1066" t="s">
        <v>451</v>
      </c>
      <c r="B1066">
        <v>27.662649999999999</v>
      </c>
      <c r="C1066" s="13">
        <v>0</v>
      </c>
    </row>
    <row r="1067" spans="1:3" x14ac:dyDescent="0.25">
      <c r="A1067" t="s">
        <v>1315</v>
      </c>
      <c r="B1067">
        <v>0</v>
      </c>
      <c r="C1067" s="13">
        <v>0</v>
      </c>
    </row>
    <row r="1068" spans="1:3" x14ac:dyDescent="0.25">
      <c r="A1068" t="s">
        <v>1316</v>
      </c>
      <c r="B1068">
        <v>10.06321</v>
      </c>
      <c r="C1068" s="13">
        <v>0</v>
      </c>
    </row>
    <row r="1069" spans="1:3" x14ac:dyDescent="0.25">
      <c r="A1069" t="s">
        <v>1317</v>
      </c>
      <c r="B1069">
        <v>13.417540000000001</v>
      </c>
      <c r="C1069" s="13">
        <v>0</v>
      </c>
    </row>
    <row r="1070" spans="1:3" x14ac:dyDescent="0.25">
      <c r="A1070" t="s">
        <v>1318</v>
      </c>
      <c r="B1070">
        <v>5.2187789999999996</v>
      </c>
      <c r="C1070" s="13">
        <v>1.715333</v>
      </c>
    </row>
    <row r="1071" spans="1:3" x14ac:dyDescent="0.25">
      <c r="A1071" t="s">
        <v>452</v>
      </c>
      <c r="B1071">
        <v>53.544510000000002</v>
      </c>
      <c r="C1071" s="13">
        <v>9.4345499999999998</v>
      </c>
    </row>
    <row r="1072" spans="1:3" x14ac:dyDescent="0.25">
      <c r="A1072" t="s">
        <v>453</v>
      </c>
      <c r="B1072">
        <v>29.443570000000001</v>
      </c>
      <c r="C1072" s="13">
        <v>5.9787530000000002</v>
      </c>
    </row>
    <row r="1073" spans="1:3" x14ac:dyDescent="0.25">
      <c r="A1073" t="s">
        <v>1319</v>
      </c>
      <c r="B1073">
        <v>26.854600000000001</v>
      </c>
      <c r="C1073" s="13">
        <v>5.4530580000000004</v>
      </c>
    </row>
    <row r="1074" spans="1:3" x14ac:dyDescent="0.25">
      <c r="A1074" t="s">
        <v>376</v>
      </c>
      <c r="B1074">
        <v>15.82807</v>
      </c>
      <c r="C1074" s="13">
        <v>3.214013</v>
      </c>
    </row>
    <row r="1075" spans="1:3" x14ac:dyDescent="0.25">
      <c r="A1075" t="s">
        <v>377</v>
      </c>
      <c r="B1075">
        <v>6.5763340000000001</v>
      </c>
      <c r="C1075" s="13">
        <v>0.93708080000000005</v>
      </c>
    </row>
    <row r="1076" spans="1:3" x14ac:dyDescent="0.25">
      <c r="A1076" t="s">
        <v>454</v>
      </c>
      <c r="B1076">
        <v>4.4146219999999996</v>
      </c>
      <c r="C1076" s="13">
        <v>2.3827609999999999</v>
      </c>
    </row>
    <row r="1077" spans="1:3" x14ac:dyDescent="0.25">
      <c r="A1077" t="s">
        <v>1320</v>
      </c>
      <c r="B1077">
        <v>7.9253049999999998</v>
      </c>
      <c r="C1077" s="13">
        <v>1.1292930000000001</v>
      </c>
    </row>
    <row r="1078" spans="1:3" x14ac:dyDescent="0.25">
      <c r="A1078" t="s">
        <v>378</v>
      </c>
      <c r="B1078">
        <v>11.413449999999999</v>
      </c>
      <c r="C1078" s="13">
        <v>2.8604769999999999</v>
      </c>
    </row>
    <row r="1079" spans="1:3" x14ac:dyDescent="0.25">
      <c r="A1079" t="s">
        <v>1321</v>
      </c>
      <c r="B1079">
        <v>2.1534689999999999</v>
      </c>
      <c r="C1079" s="13">
        <v>1.2777940000000001</v>
      </c>
    </row>
    <row r="1080" spans="1:3" x14ac:dyDescent="0.25">
      <c r="A1080" t="s">
        <v>1322</v>
      </c>
      <c r="B1080">
        <v>13.16747</v>
      </c>
      <c r="C1080" s="13">
        <v>0</v>
      </c>
    </row>
    <row r="1081" spans="1:3" x14ac:dyDescent="0.25">
      <c r="A1081" t="s">
        <v>379</v>
      </c>
      <c r="B1081">
        <v>6.1373569999999997</v>
      </c>
      <c r="C1081" s="13">
        <v>0</v>
      </c>
    </row>
    <row r="1082" spans="1:3" x14ac:dyDescent="0.25">
      <c r="A1082" t="s">
        <v>1323</v>
      </c>
      <c r="B1082">
        <v>5.1385430000000003</v>
      </c>
      <c r="C1082" s="13">
        <v>2.7734920000000001</v>
      </c>
    </row>
    <row r="1083" spans="1:3" x14ac:dyDescent="0.25">
      <c r="A1083" t="s">
        <v>1324</v>
      </c>
      <c r="B1083">
        <v>13.732889999999999</v>
      </c>
      <c r="C1083" s="13">
        <v>3.4417900000000001</v>
      </c>
    </row>
    <row r="1084" spans="1:3" x14ac:dyDescent="0.25">
      <c r="A1084" t="s">
        <v>1325</v>
      </c>
      <c r="B1084">
        <v>0.34604220000000002</v>
      </c>
      <c r="C1084" s="13">
        <v>0</v>
      </c>
    </row>
    <row r="1085" spans="1:3" x14ac:dyDescent="0.25">
      <c r="A1085" t="s">
        <v>1326</v>
      </c>
      <c r="B1085">
        <v>0</v>
      </c>
      <c r="C1085" s="13">
        <v>0</v>
      </c>
    </row>
    <row r="1086" spans="1:3" x14ac:dyDescent="0.25">
      <c r="A1086" t="s">
        <v>1327</v>
      </c>
      <c r="B1086">
        <v>28.137589999999999</v>
      </c>
      <c r="C1086" s="13">
        <v>0</v>
      </c>
    </row>
    <row r="1087" spans="1:3" x14ac:dyDescent="0.25">
      <c r="A1087" t="s">
        <v>380</v>
      </c>
      <c r="B1087">
        <v>34.548720000000003</v>
      </c>
      <c r="C1087" s="13">
        <v>8.6587169999999993</v>
      </c>
    </row>
    <row r="1088" spans="1:3" x14ac:dyDescent="0.25">
      <c r="A1088" t="s">
        <v>381</v>
      </c>
      <c r="B1088">
        <v>39.772500000000001</v>
      </c>
      <c r="C1088" s="13">
        <v>0</v>
      </c>
    </row>
    <row r="1089" spans="1:3" x14ac:dyDescent="0.25">
      <c r="A1089" t="s">
        <v>1328</v>
      </c>
      <c r="B1089">
        <v>0.1187348</v>
      </c>
      <c r="C1089" s="13">
        <v>0.1144429</v>
      </c>
    </row>
    <row r="1090" spans="1:3" x14ac:dyDescent="0.25">
      <c r="A1090" t="s">
        <v>1329</v>
      </c>
      <c r="B1090">
        <v>28.904260000000001</v>
      </c>
      <c r="C1090" s="13">
        <v>0</v>
      </c>
    </row>
    <row r="1091" spans="1:3" x14ac:dyDescent="0.25">
      <c r="A1091" t="s">
        <v>1330</v>
      </c>
      <c r="B1091">
        <v>30.670680000000001</v>
      </c>
      <c r="C1091" s="13">
        <v>-4.3703659999999998</v>
      </c>
    </row>
    <row r="1092" spans="1:3" x14ac:dyDescent="0.25">
      <c r="A1092" t="s">
        <v>382</v>
      </c>
      <c r="B1092">
        <v>30.2746</v>
      </c>
      <c r="C1092" s="13">
        <v>-6.1475140000000001</v>
      </c>
    </row>
    <row r="1093" spans="1:3" x14ac:dyDescent="0.25">
      <c r="A1093" t="s">
        <v>456</v>
      </c>
      <c r="B1093">
        <v>29.08736</v>
      </c>
      <c r="C1093" s="13">
        <v>8.4838070000000005</v>
      </c>
    </row>
    <row r="1094" spans="1:3" x14ac:dyDescent="0.25">
      <c r="A1094" t="s">
        <v>457</v>
      </c>
      <c r="B1094">
        <v>0</v>
      </c>
      <c r="C1094" s="13">
        <v>0</v>
      </c>
    </row>
    <row r="1095" spans="1:3" x14ac:dyDescent="0.25">
      <c r="A1095" t="s">
        <v>1331</v>
      </c>
      <c r="B1095">
        <v>19.151299999999999</v>
      </c>
      <c r="C1095" s="13">
        <v>3.8888440000000002</v>
      </c>
    </row>
    <row r="1096" spans="1:3" x14ac:dyDescent="0.25">
      <c r="A1096" t="s">
        <v>458</v>
      </c>
      <c r="B1096">
        <v>30.630800000000001</v>
      </c>
      <c r="C1096" s="13">
        <v>6.2198399999999996</v>
      </c>
    </row>
    <row r="1097" spans="1:3" x14ac:dyDescent="0.25">
      <c r="A1097" t="s">
        <v>459</v>
      </c>
      <c r="B1097">
        <v>14.721780000000001</v>
      </c>
      <c r="C1097" s="13">
        <v>3.6896260000000001</v>
      </c>
    </row>
    <row r="1098" spans="1:3" x14ac:dyDescent="0.25">
      <c r="A1098" t="s">
        <v>460</v>
      </c>
      <c r="B1098">
        <v>10.685129999999999</v>
      </c>
      <c r="C1098" s="13">
        <v>0</v>
      </c>
    </row>
    <row r="1099" spans="1:3" x14ac:dyDescent="0.25">
      <c r="A1099" t="s">
        <v>1332</v>
      </c>
      <c r="B1099">
        <v>7.3694730000000002</v>
      </c>
      <c r="C1099" s="13">
        <v>3.5691999999999999</v>
      </c>
    </row>
    <row r="1100" spans="1:3" x14ac:dyDescent="0.25">
      <c r="A1100" t="s">
        <v>383</v>
      </c>
      <c r="B1100">
        <v>16.265219999999999</v>
      </c>
      <c r="C1100" s="13">
        <v>2.3176670000000001</v>
      </c>
    </row>
    <row r="1101" spans="1:3" x14ac:dyDescent="0.25">
      <c r="A1101" t="s">
        <v>384</v>
      </c>
      <c r="B1101">
        <v>14.484310000000001</v>
      </c>
      <c r="C1101" s="13">
        <v>2.0639090000000002</v>
      </c>
    </row>
    <row r="1102" spans="1:3" x14ac:dyDescent="0.25">
      <c r="A1102" t="s">
        <v>385</v>
      </c>
      <c r="B1102">
        <v>15.196719999999999</v>
      </c>
      <c r="C1102" s="13">
        <v>0</v>
      </c>
    </row>
    <row r="1103" spans="1:3" x14ac:dyDescent="0.25">
      <c r="A1103" t="s">
        <v>1333</v>
      </c>
      <c r="B1103">
        <v>9.7353660000000009</v>
      </c>
      <c r="C1103" s="13">
        <v>0</v>
      </c>
    </row>
    <row r="1104" spans="1:3" x14ac:dyDescent="0.25">
      <c r="A1104" t="s">
        <v>1334</v>
      </c>
      <c r="B1104">
        <v>0</v>
      </c>
      <c r="C1104" s="13">
        <v>0</v>
      </c>
    </row>
    <row r="1105" spans="1:3" x14ac:dyDescent="0.25">
      <c r="A1105" t="s">
        <v>387</v>
      </c>
      <c r="B1105">
        <v>33.561059999999998</v>
      </c>
      <c r="C1105" s="13">
        <v>0</v>
      </c>
    </row>
    <row r="1106" spans="1:3" x14ac:dyDescent="0.25">
      <c r="A1106" t="s">
        <v>386</v>
      </c>
      <c r="B1106">
        <v>42.071840000000002</v>
      </c>
      <c r="C1106" s="13">
        <v>8.5430109999999999</v>
      </c>
    </row>
    <row r="1107" spans="1:3" x14ac:dyDescent="0.25">
      <c r="A1107" t="s">
        <v>1335</v>
      </c>
      <c r="B1107">
        <v>7.7077590000000002</v>
      </c>
      <c r="C1107" s="13">
        <v>5.1796439999999997</v>
      </c>
    </row>
    <row r="1108" spans="1:3" x14ac:dyDescent="0.25">
      <c r="A1108" t="s">
        <v>1336</v>
      </c>
      <c r="B1108">
        <v>28.743680000000001</v>
      </c>
      <c r="C1108" s="13">
        <v>5.8366480000000003</v>
      </c>
    </row>
    <row r="1109" spans="1:3" x14ac:dyDescent="0.25">
      <c r="A1109" t="s">
        <v>388</v>
      </c>
      <c r="B1109">
        <v>4.6371779999999996</v>
      </c>
      <c r="C1109" s="13">
        <v>0</v>
      </c>
    </row>
    <row r="1110" spans="1:3" x14ac:dyDescent="0.25">
      <c r="A1110" t="s">
        <v>1337</v>
      </c>
      <c r="B1110">
        <v>5.5025729999999999</v>
      </c>
      <c r="C1110" s="13">
        <v>2.1747570000000001</v>
      </c>
    </row>
    <row r="1111" spans="1:3" x14ac:dyDescent="0.25">
      <c r="A1111" t="s">
        <v>389</v>
      </c>
      <c r="B1111">
        <v>9.2179850000000005</v>
      </c>
      <c r="C1111" s="13">
        <v>2.310244</v>
      </c>
    </row>
    <row r="1112" spans="1:3" x14ac:dyDescent="0.25">
      <c r="A1112" t="s">
        <v>1338</v>
      </c>
      <c r="B1112">
        <v>0</v>
      </c>
      <c r="C1112" s="13">
        <v>0</v>
      </c>
    </row>
    <row r="1113" spans="1:3" x14ac:dyDescent="0.25">
      <c r="A1113" t="s">
        <v>1339</v>
      </c>
      <c r="B1113">
        <v>7.7077590000000002</v>
      </c>
      <c r="C1113" s="13">
        <v>1.5651280000000001</v>
      </c>
    </row>
    <row r="1114" spans="1:3" x14ac:dyDescent="0.25">
      <c r="A1114" t="s">
        <v>1340</v>
      </c>
      <c r="B1114">
        <v>0</v>
      </c>
      <c r="C1114" s="13">
        <v>0</v>
      </c>
    </row>
    <row r="1115" spans="1:3" x14ac:dyDescent="0.25">
      <c r="A1115" t="s">
        <v>1341</v>
      </c>
      <c r="B1115">
        <v>12.133940000000001</v>
      </c>
      <c r="C1115" s="13">
        <v>4.7956469999999998</v>
      </c>
    </row>
    <row r="1116" spans="1:3" x14ac:dyDescent="0.25">
      <c r="A1116" t="s">
        <v>1342</v>
      </c>
      <c r="B1116">
        <v>1.5176529999999999</v>
      </c>
      <c r="C1116" s="13">
        <v>-0.44264870000000001</v>
      </c>
    </row>
    <row r="1117" spans="1:3" x14ac:dyDescent="0.25">
      <c r="A1117" t="s">
        <v>1343</v>
      </c>
      <c r="B1117">
        <v>1.5176529999999999</v>
      </c>
      <c r="C1117" s="13">
        <v>-0.44264870000000001</v>
      </c>
    </row>
    <row r="1118" spans="1:3" x14ac:dyDescent="0.25">
      <c r="A1118" t="s">
        <v>1344</v>
      </c>
      <c r="B1118">
        <v>0</v>
      </c>
      <c r="C1118" s="13">
        <v>0</v>
      </c>
    </row>
    <row r="1119" spans="1:3" x14ac:dyDescent="0.25">
      <c r="A1119" t="s">
        <v>1345</v>
      </c>
      <c r="B1119">
        <v>2.915905</v>
      </c>
      <c r="C1119" s="13">
        <v>0.59209820000000002</v>
      </c>
    </row>
    <row r="1120" spans="1:3" x14ac:dyDescent="0.25">
      <c r="A1120" t="s">
        <v>1346</v>
      </c>
      <c r="B1120">
        <v>2.915905</v>
      </c>
      <c r="C1120" s="13">
        <v>0.59209820000000002</v>
      </c>
    </row>
    <row r="1121" spans="1:3" x14ac:dyDescent="0.25">
      <c r="A1121" t="s">
        <v>1347</v>
      </c>
      <c r="B1121">
        <v>1.9752700000000001</v>
      </c>
      <c r="C1121" s="13">
        <v>0.40109650000000002</v>
      </c>
    </row>
    <row r="1122" spans="1:3" x14ac:dyDescent="0.25">
      <c r="A1122" t="s">
        <v>390</v>
      </c>
      <c r="B1122">
        <v>0</v>
      </c>
      <c r="C1122" s="13">
        <v>0</v>
      </c>
    </row>
    <row r="1123" spans="1:3" x14ac:dyDescent="0.25">
      <c r="A1123" t="s">
        <v>1348</v>
      </c>
      <c r="B1123">
        <v>0</v>
      </c>
      <c r="C1123" s="13">
        <v>0</v>
      </c>
    </row>
    <row r="1124" spans="1:3" x14ac:dyDescent="0.25">
      <c r="A1124" t="s">
        <v>1349</v>
      </c>
      <c r="B1124">
        <v>0</v>
      </c>
      <c r="C1124" s="13">
        <v>0</v>
      </c>
    </row>
    <row r="1125" spans="1:3" x14ac:dyDescent="0.25">
      <c r="A1125" t="s">
        <v>1350</v>
      </c>
      <c r="B1125">
        <v>0</v>
      </c>
      <c r="C1125" s="13">
        <v>0</v>
      </c>
    </row>
    <row r="1126" spans="1:3" x14ac:dyDescent="0.25">
      <c r="A1126" t="s">
        <v>1351</v>
      </c>
      <c r="B1126">
        <v>2.9930750000000002</v>
      </c>
      <c r="C1126" s="13">
        <v>0</v>
      </c>
    </row>
    <row r="1127" spans="1:3" x14ac:dyDescent="0.25">
      <c r="A1127" t="s">
        <v>1352</v>
      </c>
      <c r="B1127">
        <v>0.72256790000000004</v>
      </c>
      <c r="C1127" s="13">
        <v>0.52313010000000004</v>
      </c>
    </row>
    <row r="1128" spans="1:3" x14ac:dyDescent="0.25">
      <c r="A1128" t="s">
        <v>391</v>
      </c>
      <c r="B1128">
        <v>5.3615159999999999</v>
      </c>
      <c r="C1128" s="13">
        <v>3.0385110000000002</v>
      </c>
    </row>
    <row r="1129" spans="1:3" x14ac:dyDescent="0.25">
      <c r="A1129" t="s">
        <v>1353</v>
      </c>
      <c r="B1129">
        <v>0.84656699999999996</v>
      </c>
      <c r="C1129" s="13">
        <v>2.5064139999999999</v>
      </c>
    </row>
    <row r="1130" spans="1:3" x14ac:dyDescent="0.25">
      <c r="A1130" t="s">
        <v>1354</v>
      </c>
      <c r="B1130">
        <v>14.21292</v>
      </c>
      <c r="C1130" s="13">
        <v>2.0252279999999998</v>
      </c>
    </row>
    <row r="1131" spans="1:3" x14ac:dyDescent="0.25">
      <c r="A1131" t="s">
        <v>1355</v>
      </c>
      <c r="B1131">
        <v>6.6757749999999998</v>
      </c>
      <c r="C1131" s="13">
        <v>2.1942210000000002</v>
      </c>
    </row>
    <row r="1132" spans="1:3" x14ac:dyDescent="0.25">
      <c r="A1132" t="s">
        <v>1356</v>
      </c>
      <c r="B1132">
        <v>8.8417130000000004</v>
      </c>
      <c r="C1132" s="13">
        <v>1.2598640000000001</v>
      </c>
    </row>
    <row r="1133" spans="1:3" x14ac:dyDescent="0.25">
      <c r="A1133" t="s">
        <v>1357</v>
      </c>
      <c r="B1133">
        <v>0.51731740000000004</v>
      </c>
      <c r="C1133" s="13">
        <v>-1.1508229999999999</v>
      </c>
    </row>
    <row r="1134" spans="1:3" x14ac:dyDescent="0.25">
      <c r="A1134" t="s">
        <v>392</v>
      </c>
      <c r="B1134">
        <v>9.1313429999999993</v>
      </c>
      <c r="C1134" s="13">
        <v>-6.6109799999999996</v>
      </c>
    </row>
    <row r="1135" spans="1:3" x14ac:dyDescent="0.25">
      <c r="A1135" t="s">
        <v>1358</v>
      </c>
      <c r="B1135">
        <v>5.2991260000000002</v>
      </c>
      <c r="C1135" s="13">
        <v>0.75508679999999995</v>
      </c>
    </row>
    <row r="1136" spans="1:3" x14ac:dyDescent="0.25">
      <c r="A1136" t="s">
        <v>1359</v>
      </c>
      <c r="B1136">
        <v>1.926995</v>
      </c>
      <c r="C1136" s="13">
        <v>0.4829502</v>
      </c>
    </row>
    <row r="1137" spans="1:3" x14ac:dyDescent="0.25">
      <c r="A1137" t="s">
        <v>1360</v>
      </c>
      <c r="B1137">
        <v>1.926995</v>
      </c>
      <c r="C1137" s="13">
        <v>0.4829502</v>
      </c>
    </row>
    <row r="1138" spans="1:3" x14ac:dyDescent="0.25">
      <c r="A1138" s="14" t="s">
        <v>393</v>
      </c>
      <c r="B1138">
        <v>11.94571</v>
      </c>
      <c r="C1138" s="13">
        <v>-1.702162</v>
      </c>
    </row>
    <row r="1139" spans="1:3" x14ac:dyDescent="0.25">
      <c r="A1139" t="s">
        <v>394</v>
      </c>
      <c r="B1139">
        <v>38.347900000000003</v>
      </c>
      <c r="C1139" s="13">
        <v>0</v>
      </c>
    </row>
    <row r="1140" spans="1:3" x14ac:dyDescent="0.25">
      <c r="A1140" t="s">
        <v>1361</v>
      </c>
      <c r="B1140">
        <v>25.3567</v>
      </c>
      <c r="C1140" s="13">
        <v>5.148911</v>
      </c>
    </row>
    <row r="1141" spans="1:3" x14ac:dyDescent="0.25">
      <c r="A1141" t="s">
        <v>1362</v>
      </c>
      <c r="B1141">
        <v>40.95973</v>
      </c>
      <c r="C1141" s="13">
        <v>0</v>
      </c>
    </row>
    <row r="1142" spans="1:3" x14ac:dyDescent="0.25">
      <c r="A1142" t="s">
        <v>463</v>
      </c>
      <c r="B1142">
        <v>66.248019999999997</v>
      </c>
      <c r="C1142" s="13">
        <v>13.452260000000001</v>
      </c>
    </row>
    <row r="1143" spans="1:3" x14ac:dyDescent="0.25">
      <c r="A1143" t="s">
        <v>1363</v>
      </c>
      <c r="B1143">
        <v>0</v>
      </c>
      <c r="C1143" s="13">
        <v>0</v>
      </c>
    </row>
    <row r="1144" spans="1:3" x14ac:dyDescent="0.25">
      <c r="A1144" t="s">
        <v>1364</v>
      </c>
      <c r="B1144">
        <v>9.9559200000000008</v>
      </c>
      <c r="C1144" s="13">
        <v>-4.2412070000000002</v>
      </c>
    </row>
    <row r="1145" spans="1:3" x14ac:dyDescent="0.25">
      <c r="A1145" t="s">
        <v>1365</v>
      </c>
      <c r="B1145">
        <v>17.80856</v>
      </c>
      <c r="C1145" s="13">
        <v>0</v>
      </c>
    </row>
    <row r="1146" spans="1:3" x14ac:dyDescent="0.25">
      <c r="A1146" t="s">
        <v>1366</v>
      </c>
      <c r="B1146">
        <v>0</v>
      </c>
      <c r="C1146" s="13">
        <v>0</v>
      </c>
    </row>
    <row r="1147" spans="1:3" x14ac:dyDescent="0.25">
      <c r="A1147" t="s">
        <v>1367</v>
      </c>
      <c r="B1147">
        <v>0</v>
      </c>
      <c r="C1147" s="13">
        <v>0</v>
      </c>
    </row>
    <row r="1148" spans="1:3" x14ac:dyDescent="0.25">
      <c r="A1148" t="s">
        <v>2</v>
      </c>
      <c r="B1148">
        <v>21.752230000000001</v>
      </c>
      <c r="C1148" s="13">
        <v>12.32756</v>
      </c>
    </row>
    <row r="1149" spans="1:3" x14ac:dyDescent="0.25">
      <c r="A1149" t="s">
        <v>3</v>
      </c>
      <c r="B1149">
        <v>21.41929</v>
      </c>
      <c r="C1149" s="13">
        <v>12.138870000000001</v>
      </c>
    </row>
    <row r="1150" spans="1:3" x14ac:dyDescent="0.25">
      <c r="A1150" t="s">
        <v>1368</v>
      </c>
      <c r="B1150">
        <v>0.1687196</v>
      </c>
      <c r="C1150" s="13">
        <v>0</v>
      </c>
    </row>
    <row r="1151" spans="1:3" x14ac:dyDescent="0.25">
      <c r="A1151" t="s">
        <v>1369</v>
      </c>
      <c r="B1151">
        <v>0</v>
      </c>
      <c r="C1151" s="13">
        <v>0</v>
      </c>
    </row>
    <row r="1152" spans="1:3" x14ac:dyDescent="0.25">
      <c r="A1152" t="s">
        <v>64</v>
      </c>
      <c r="B1152">
        <v>0.2034899</v>
      </c>
      <c r="C1152" s="13">
        <v>0</v>
      </c>
    </row>
    <row r="1153" spans="1:3" x14ac:dyDescent="0.25">
      <c r="A1153" t="s">
        <v>65</v>
      </c>
      <c r="B1153">
        <v>0</v>
      </c>
      <c r="C1153" s="13">
        <v>0</v>
      </c>
    </row>
    <row r="1154" spans="1:3" x14ac:dyDescent="0.25">
      <c r="A1154" t="s">
        <v>4</v>
      </c>
      <c r="B1154">
        <v>24.304790000000001</v>
      </c>
      <c r="C1154" s="13">
        <v>13.11833</v>
      </c>
    </row>
    <row r="1155" spans="1:3" x14ac:dyDescent="0.25">
      <c r="A1155" t="s">
        <v>5</v>
      </c>
      <c r="B1155">
        <v>23.860869999999998</v>
      </c>
      <c r="C1155" s="13">
        <v>13.52257</v>
      </c>
    </row>
    <row r="1156" spans="1:3" x14ac:dyDescent="0.25">
      <c r="A1156" t="s">
        <v>15</v>
      </c>
      <c r="B1156">
        <v>8.7674819999999993</v>
      </c>
      <c r="C1156" s="13">
        <v>6.8043069999999997</v>
      </c>
    </row>
    <row r="1157" spans="1:3" x14ac:dyDescent="0.25">
      <c r="A1157" t="s">
        <v>16</v>
      </c>
      <c r="B1157">
        <v>0</v>
      </c>
      <c r="C1157" s="13">
        <v>0</v>
      </c>
    </row>
    <row r="1158" spans="1:3" x14ac:dyDescent="0.25">
      <c r="A1158" t="s">
        <v>17</v>
      </c>
      <c r="B1158">
        <v>0</v>
      </c>
      <c r="C1158" s="13">
        <v>0</v>
      </c>
    </row>
    <row r="1159" spans="1:3" x14ac:dyDescent="0.25">
      <c r="A1159" t="s">
        <v>1370</v>
      </c>
      <c r="B1159">
        <v>17.30988</v>
      </c>
      <c r="C1159" s="13">
        <v>-2.4665240000000002</v>
      </c>
    </row>
    <row r="1160" spans="1:3" x14ac:dyDescent="0.25">
      <c r="A1160" t="s">
        <v>70</v>
      </c>
      <c r="B1160">
        <v>0</v>
      </c>
      <c r="C1160" s="13">
        <v>0</v>
      </c>
    </row>
    <row r="1161" spans="1:3" x14ac:dyDescent="0.25">
      <c r="A1161" t="s">
        <v>71</v>
      </c>
      <c r="B1161">
        <v>0.20552480000000001</v>
      </c>
      <c r="C1161" s="13">
        <v>0</v>
      </c>
    </row>
    <row r="1162" spans="1:3" x14ac:dyDescent="0.25">
      <c r="A1162" t="s">
        <v>1371</v>
      </c>
      <c r="B1162">
        <v>0</v>
      </c>
      <c r="C1162" s="13">
        <v>0</v>
      </c>
    </row>
    <row r="1163" spans="1:3" x14ac:dyDescent="0.25">
      <c r="A1163" t="s">
        <v>1372</v>
      </c>
      <c r="B1163">
        <v>0</v>
      </c>
      <c r="C1163" s="13">
        <v>0</v>
      </c>
    </row>
    <row r="1164" spans="1:3" x14ac:dyDescent="0.25">
      <c r="A1164" t="s">
        <v>1373</v>
      </c>
      <c r="B1164">
        <v>1.000966</v>
      </c>
      <c r="C1164" s="13">
        <v>0</v>
      </c>
    </row>
    <row r="1165" spans="1:3" x14ac:dyDescent="0.25">
      <c r="A1165" t="s">
        <v>1374</v>
      </c>
      <c r="B1165">
        <v>4.1858570000000004</v>
      </c>
      <c r="C1165" s="13">
        <v>1.5192639999999999</v>
      </c>
    </row>
    <row r="1166" spans="1:3" x14ac:dyDescent="0.25">
      <c r="A1166" t="s">
        <v>1375</v>
      </c>
      <c r="B1166">
        <v>0.22801669999999999</v>
      </c>
      <c r="C1166" s="13">
        <v>0</v>
      </c>
    </row>
    <row r="1167" spans="1:3" x14ac:dyDescent="0.25">
      <c r="A1167" t="s">
        <v>1376</v>
      </c>
      <c r="B1167">
        <v>0</v>
      </c>
      <c r="C1167" s="13">
        <v>0</v>
      </c>
    </row>
    <row r="1168" spans="1:3" x14ac:dyDescent="0.25">
      <c r="A1168" t="s">
        <v>1377</v>
      </c>
      <c r="B1168">
        <v>0.50329999999999997</v>
      </c>
      <c r="C1168" s="13">
        <v>0.19891690000000001</v>
      </c>
    </row>
    <row r="1169" spans="1:3" x14ac:dyDescent="0.25">
      <c r="A1169" t="s">
        <v>18</v>
      </c>
      <c r="B1169">
        <v>5.4296119999999997</v>
      </c>
      <c r="C1169" s="13">
        <v>1.10253</v>
      </c>
    </row>
    <row r="1170" spans="1:3" x14ac:dyDescent="0.25">
      <c r="A1170" t="s">
        <v>9</v>
      </c>
      <c r="B1170">
        <v>9.162471</v>
      </c>
      <c r="C1170" s="13">
        <v>0</v>
      </c>
    </row>
    <row r="1171" spans="1:3" x14ac:dyDescent="0.25">
      <c r="A1171" t="s">
        <v>10</v>
      </c>
      <c r="B1171">
        <v>9.0493539999999992</v>
      </c>
      <c r="C1171" s="13">
        <v>0</v>
      </c>
    </row>
    <row r="1172" spans="1:3" x14ac:dyDescent="0.25">
      <c r="A1172" t="s">
        <v>11</v>
      </c>
      <c r="B1172">
        <v>8.5968859999999996</v>
      </c>
      <c r="C1172" s="13">
        <v>-1.224988</v>
      </c>
    </row>
    <row r="1173" spans="1:3" x14ac:dyDescent="0.25">
      <c r="A1173" t="s">
        <v>12</v>
      </c>
      <c r="B1173">
        <v>9.0493539999999992</v>
      </c>
      <c r="C1173" s="13">
        <v>0</v>
      </c>
    </row>
    <row r="1174" spans="1:3" x14ac:dyDescent="0.25">
      <c r="A1174" t="s">
        <v>13</v>
      </c>
      <c r="B1174">
        <v>11.424810000000001</v>
      </c>
      <c r="C1174" s="13">
        <v>6.4747380000000003</v>
      </c>
    </row>
    <row r="1175" spans="1:3" x14ac:dyDescent="0.25">
      <c r="A1175" t="s">
        <v>1378</v>
      </c>
      <c r="B1175">
        <v>0</v>
      </c>
      <c r="C1175" s="13">
        <v>0</v>
      </c>
    </row>
    <row r="1176" spans="1:3" x14ac:dyDescent="0.25">
      <c r="A1176" t="s">
        <v>77</v>
      </c>
      <c r="B1176">
        <v>0.2012776</v>
      </c>
      <c r="C1176" s="13">
        <v>0.1031176</v>
      </c>
    </row>
    <row r="1177" spans="1:3" x14ac:dyDescent="0.25">
      <c r="A1177" t="s">
        <v>6</v>
      </c>
      <c r="B1177">
        <v>5.0496249999999998</v>
      </c>
      <c r="C1177" s="13">
        <v>3.3933689999999999</v>
      </c>
    </row>
    <row r="1178" spans="1:3" x14ac:dyDescent="0.25">
      <c r="A1178" t="s">
        <v>7</v>
      </c>
      <c r="B1178">
        <v>0</v>
      </c>
      <c r="C1178" s="13">
        <v>0</v>
      </c>
    </row>
    <row r="1179" spans="1:3" x14ac:dyDescent="0.25">
      <c r="A1179" t="s">
        <v>8</v>
      </c>
      <c r="B1179">
        <v>0</v>
      </c>
      <c r="C1179" s="13">
        <v>0</v>
      </c>
    </row>
    <row r="1180" spans="1:3" x14ac:dyDescent="0.25">
      <c r="A1180" t="s">
        <v>1379</v>
      </c>
      <c r="B1180">
        <v>0</v>
      </c>
      <c r="C1180" s="13">
        <v>0</v>
      </c>
    </row>
    <row r="1181" spans="1:3" x14ac:dyDescent="0.25">
      <c r="A1181" t="s">
        <v>1380</v>
      </c>
      <c r="B1181">
        <v>0</v>
      </c>
      <c r="C1181" s="13">
        <v>0</v>
      </c>
    </row>
    <row r="1182" spans="1:3" x14ac:dyDescent="0.25">
      <c r="A1182" t="s">
        <v>1381</v>
      </c>
      <c r="B1182">
        <v>0</v>
      </c>
      <c r="C1182" s="13">
        <v>0</v>
      </c>
    </row>
    <row r="1183" spans="1:3" x14ac:dyDescent="0.25">
      <c r="A1183" t="s">
        <v>1382</v>
      </c>
      <c r="B1183">
        <v>0</v>
      </c>
      <c r="C1183" s="13">
        <v>0</v>
      </c>
    </row>
    <row r="1184" spans="1:3" x14ac:dyDescent="0.25">
      <c r="A1184" t="s">
        <v>1383</v>
      </c>
      <c r="B1184">
        <v>0.16109999999999999</v>
      </c>
      <c r="C1184" s="13">
        <v>-2.2955429999999999E-2</v>
      </c>
    </row>
    <row r="1185" spans="1:3" x14ac:dyDescent="0.25">
      <c r="A1185" t="s">
        <v>1384</v>
      </c>
      <c r="B1185">
        <v>0</v>
      </c>
      <c r="C1185" s="13">
        <v>0</v>
      </c>
    </row>
    <row r="1186" spans="1:3" x14ac:dyDescent="0.25">
      <c r="A1186" t="s">
        <v>31</v>
      </c>
      <c r="B1186">
        <v>0</v>
      </c>
      <c r="C1186" s="13">
        <v>0</v>
      </c>
    </row>
    <row r="1187" spans="1:3" x14ac:dyDescent="0.25">
      <c r="A1187" t="s">
        <v>30</v>
      </c>
      <c r="B1187">
        <v>0</v>
      </c>
      <c r="C1187" s="13">
        <v>0</v>
      </c>
    </row>
    <row r="1188" spans="1:3" x14ac:dyDescent="0.25">
      <c r="A1188" t="s">
        <v>1385</v>
      </c>
      <c r="B1188">
        <v>0</v>
      </c>
      <c r="C1188" s="13">
        <v>0</v>
      </c>
    </row>
    <row r="1189" spans="1:3" x14ac:dyDescent="0.25">
      <c r="A1189" t="s">
        <v>1386</v>
      </c>
      <c r="B1189">
        <v>0</v>
      </c>
      <c r="C1189" s="13">
        <v>0</v>
      </c>
    </row>
    <row r="1190" spans="1:3" x14ac:dyDescent="0.25">
      <c r="A1190" t="s">
        <v>1387</v>
      </c>
      <c r="B1190">
        <v>0</v>
      </c>
      <c r="C1190" s="13">
        <v>0</v>
      </c>
    </row>
    <row r="1191" spans="1:3" x14ac:dyDescent="0.25">
      <c r="A1191" t="s">
        <v>1388</v>
      </c>
      <c r="B1191">
        <v>0</v>
      </c>
      <c r="C1191" s="13">
        <v>0</v>
      </c>
    </row>
    <row r="1192" spans="1:3" x14ac:dyDescent="0.25">
      <c r="A1192" t="s">
        <v>1389</v>
      </c>
      <c r="B1192">
        <v>0</v>
      </c>
      <c r="C1192" s="13">
        <v>0</v>
      </c>
    </row>
    <row r="1193" spans="1:3" x14ac:dyDescent="0.25">
      <c r="A1193" t="s">
        <v>123</v>
      </c>
      <c r="B1193">
        <v>0</v>
      </c>
      <c r="C1193" s="13">
        <v>0</v>
      </c>
    </row>
    <row r="1194" spans="1:3" x14ac:dyDescent="0.25">
      <c r="A1194" t="s">
        <v>1390</v>
      </c>
      <c r="B1194">
        <v>0</v>
      </c>
      <c r="C1194" s="13">
        <v>0</v>
      </c>
    </row>
    <row r="1195" spans="1:3" x14ac:dyDescent="0.25">
      <c r="A1195" t="s">
        <v>14</v>
      </c>
      <c r="B1195">
        <v>2</v>
      </c>
      <c r="C1195" s="13">
        <v>2.5980370000000002</v>
      </c>
    </row>
    <row r="1196" spans="1:3" x14ac:dyDescent="0.25">
      <c r="A1196" t="s">
        <v>1391</v>
      </c>
      <c r="B1196">
        <v>0.1208</v>
      </c>
      <c r="C1196" s="13">
        <v>0</v>
      </c>
    </row>
    <row r="1197" spans="1:3" x14ac:dyDescent="0.25">
      <c r="A1197" t="s">
        <v>1392</v>
      </c>
      <c r="B1197">
        <v>0</v>
      </c>
      <c r="C1197" s="13">
        <v>0</v>
      </c>
    </row>
    <row r="1198" spans="1:3" x14ac:dyDescent="0.25">
      <c r="A1198" t="s">
        <v>1393</v>
      </c>
      <c r="B1198">
        <v>0.99882700000000002</v>
      </c>
      <c r="C1198" s="13">
        <v>2.9572069999999999</v>
      </c>
    </row>
    <row r="1199" spans="1:3" x14ac:dyDescent="0.25">
      <c r="A1199" t="s">
        <v>1394</v>
      </c>
      <c r="B1199">
        <v>0</v>
      </c>
      <c r="C1199" s="13">
        <v>0</v>
      </c>
    </row>
    <row r="1200" spans="1:3" x14ac:dyDescent="0.25">
      <c r="A1200" t="s">
        <v>1395</v>
      </c>
      <c r="B1200">
        <v>0</v>
      </c>
      <c r="C1200" s="13">
        <v>0</v>
      </c>
    </row>
    <row r="1201" spans="1:3" x14ac:dyDescent="0.25">
      <c r="A1201" t="s">
        <v>1396</v>
      </c>
      <c r="B1201">
        <v>6.1403999999999996</v>
      </c>
      <c r="C1201" s="13">
        <v>3.966307</v>
      </c>
    </row>
    <row r="1202" spans="1:3" x14ac:dyDescent="0.25">
      <c r="A1202" t="s">
        <v>1397</v>
      </c>
      <c r="B1202">
        <v>0.41670000000000001</v>
      </c>
      <c r="C1202" s="13">
        <v>0.2691617</v>
      </c>
    </row>
    <row r="1203" spans="1:3" x14ac:dyDescent="0.25">
      <c r="A1203" t="s">
        <v>1398</v>
      </c>
      <c r="B1203">
        <v>0.22196160000000001</v>
      </c>
      <c r="C1203" s="13">
        <v>0.55732250000000005</v>
      </c>
    </row>
    <row r="1204" spans="1:3" x14ac:dyDescent="0.25">
      <c r="A1204" t="s">
        <v>1399</v>
      </c>
      <c r="B1204">
        <v>6.3544</v>
      </c>
      <c r="C1204" s="13">
        <v>4.1045369999999997</v>
      </c>
    </row>
    <row r="1205" spans="1:3" x14ac:dyDescent="0.25">
      <c r="A1205" t="s">
        <v>1400</v>
      </c>
      <c r="B1205">
        <v>0.41670000000000001</v>
      </c>
      <c r="C1205" s="13">
        <v>0.2691617</v>
      </c>
    </row>
    <row r="1206" spans="1:3" x14ac:dyDescent="0.25">
      <c r="A1206" t="s">
        <v>1401</v>
      </c>
      <c r="B1206">
        <v>0</v>
      </c>
      <c r="C1206" s="13">
        <v>0</v>
      </c>
    </row>
    <row r="1207" spans="1:3" x14ac:dyDescent="0.25">
      <c r="A1207" t="s">
        <v>1402</v>
      </c>
      <c r="B1207">
        <v>0</v>
      </c>
      <c r="C1207" s="13">
        <v>0</v>
      </c>
    </row>
    <row r="1208" spans="1:3" x14ac:dyDescent="0.25">
      <c r="A1208" t="s">
        <v>1403</v>
      </c>
      <c r="B1208">
        <v>0</v>
      </c>
      <c r="C1208" s="13">
        <v>0</v>
      </c>
    </row>
    <row r="1209" spans="1:3" x14ac:dyDescent="0.25">
      <c r="A1209" t="s">
        <v>1404</v>
      </c>
      <c r="B1209">
        <v>4.8831540000000002</v>
      </c>
      <c r="C1209" s="13">
        <v>-3.7897409999999998</v>
      </c>
    </row>
    <row r="1210" spans="1:3" x14ac:dyDescent="0.25">
      <c r="A1210" t="s">
        <v>1405</v>
      </c>
      <c r="B1210">
        <v>1.812316</v>
      </c>
      <c r="C1210" s="13">
        <v>0.71627300000000005</v>
      </c>
    </row>
    <row r="1211" spans="1:3" x14ac:dyDescent="0.25">
      <c r="A1211" t="s">
        <v>1406</v>
      </c>
      <c r="B1211">
        <v>1.8792</v>
      </c>
      <c r="C1211" s="13">
        <v>0.61766339999999997</v>
      </c>
    </row>
    <row r="1212" spans="1:3" x14ac:dyDescent="0.25">
      <c r="A1212" t="s">
        <v>1407</v>
      </c>
      <c r="B1212">
        <v>1.664712</v>
      </c>
      <c r="C1212" s="13">
        <v>2.2196150000000001</v>
      </c>
    </row>
    <row r="1213" spans="1:3" x14ac:dyDescent="0.25">
      <c r="A1213" t="s">
        <v>1408</v>
      </c>
      <c r="B1213">
        <v>12.651809999999999</v>
      </c>
      <c r="C1213" s="13">
        <v>-1.8027839999999999</v>
      </c>
    </row>
    <row r="1214" spans="1:3" x14ac:dyDescent="0.25">
      <c r="A1214" t="s">
        <v>1409</v>
      </c>
      <c r="B1214">
        <v>5.4380579999999998</v>
      </c>
      <c r="C1214" s="13">
        <v>-0.77488009999999996</v>
      </c>
    </row>
    <row r="1215" spans="1:3" x14ac:dyDescent="0.25">
      <c r="A1215" t="s">
        <v>1410</v>
      </c>
      <c r="B1215">
        <v>0.42084709999999997</v>
      </c>
      <c r="C1215" s="13">
        <v>0.30468810000000002</v>
      </c>
    </row>
    <row r="1216" spans="1:3" x14ac:dyDescent="0.25">
      <c r="A1216" t="s">
        <v>1411</v>
      </c>
      <c r="B1216">
        <v>0.42084709999999997</v>
      </c>
      <c r="C1216" s="13">
        <v>0.30468810000000002</v>
      </c>
    </row>
    <row r="1217" spans="1:3" x14ac:dyDescent="0.25">
      <c r="A1217" t="s">
        <v>1412</v>
      </c>
      <c r="B1217">
        <v>0.42084709999999997</v>
      </c>
      <c r="C1217" s="13">
        <v>0.30468810000000002</v>
      </c>
    </row>
    <row r="1218" spans="1:3" x14ac:dyDescent="0.25">
      <c r="A1218" t="s">
        <v>1413</v>
      </c>
      <c r="B1218">
        <v>0.42084709999999997</v>
      </c>
      <c r="C1218" s="13">
        <v>0.30468810000000002</v>
      </c>
    </row>
    <row r="1219" spans="1:3" x14ac:dyDescent="0.25">
      <c r="A1219" t="s">
        <v>1414</v>
      </c>
      <c r="B1219">
        <v>0.2106046</v>
      </c>
      <c r="C1219" s="13">
        <v>0.1524751</v>
      </c>
    </row>
    <row r="1220" spans="1:3" x14ac:dyDescent="0.25">
      <c r="A1220" t="s">
        <v>1415</v>
      </c>
      <c r="B1220">
        <v>0.2083402</v>
      </c>
      <c r="C1220" s="13">
        <v>0.15083569999999999</v>
      </c>
    </row>
    <row r="1221" spans="1:3" x14ac:dyDescent="0.25">
      <c r="A1221" t="s">
        <v>1416</v>
      </c>
      <c r="B1221">
        <v>0.5605639</v>
      </c>
      <c r="C1221" s="13">
        <v>0.1138271</v>
      </c>
    </row>
    <row r="1222" spans="1:3" x14ac:dyDescent="0.25">
      <c r="A1222" t="s">
        <v>1417</v>
      </c>
      <c r="B1222">
        <v>0.5605639</v>
      </c>
      <c r="C1222" s="13">
        <v>0.1138271</v>
      </c>
    </row>
    <row r="1223" spans="1:3" x14ac:dyDescent="0.25">
      <c r="A1223" t="s">
        <v>1418</v>
      </c>
      <c r="B1223">
        <v>2.108635</v>
      </c>
      <c r="C1223" s="13">
        <v>0.30046400000000001</v>
      </c>
    </row>
    <row r="1224" spans="1:3" x14ac:dyDescent="0.25">
      <c r="A1224" t="s">
        <v>1419</v>
      </c>
      <c r="B1224">
        <v>8.3299999999999999E-2</v>
      </c>
      <c r="C1224" s="13">
        <v>4.2675869999999998E-2</v>
      </c>
    </row>
    <row r="1225" spans="1:3" x14ac:dyDescent="0.25">
      <c r="A1225" t="s">
        <v>1420</v>
      </c>
      <c r="B1225">
        <v>0.52090000000000003</v>
      </c>
      <c r="C1225" s="13">
        <v>0.205873</v>
      </c>
    </row>
    <row r="1226" spans="1:3" x14ac:dyDescent="0.25">
      <c r="A1226" t="s">
        <v>1421</v>
      </c>
      <c r="B1226">
        <v>0.1581476</v>
      </c>
      <c r="C1226" s="13">
        <v>0</v>
      </c>
    </row>
    <row r="1227" spans="1:3" x14ac:dyDescent="0.25">
      <c r="A1227" t="s">
        <v>1422</v>
      </c>
      <c r="B1227">
        <v>0.2730127</v>
      </c>
      <c r="C1227" s="13">
        <v>0</v>
      </c>
    </row>
    <row r="1228" spans="1:3" x14ac:dyDescent="0.25">
      <c r="A1228" t="s">
        <v>1423</v>
      </c>
      <c r="B1228">
        <v>9.5091750000000003E-2</v>
      </c>
      <c r="C1228" s="13">
        <v>0</v>
      </c>
    </row>
    <row r="1229" spans="1:3" x14ac:dyDescent="0.25">
      <c r="A1229" t="s">
        <v>1424</v>
      </c>
      <c r="B1229">
        <v>9.5091750000000003E-2</v>
      </c>
      <c r="C1229" s="13">
        <v>0</v>
      </c>
    </row>
    <row r="1230" spans="1:3" x14ac:dyDescent="0.25">
      <c r="A1230" t="s">
        <v>1425</v>
      </c>
      <c r="B1230">
        <v>0.47564070000000003</v>
      </c>
      <c r="C1230" s="13">
        <v>-6.7775189999999999E-2</v>
      </c>
    </row>
    <row r="1231" spans="1:3" x14ac:dyDescent="0.25">
      <c r="A1231" t="s">
        <v>1426</v>
      </c>
      <c r="B1231">
        <v>0.1409542</v>
      </c>
      <c r="C1231" s="13">
        <v>-0.65624340000000003</v>
      </c>
    </row>
    <row r="1232" spans="1:3" x14ac:dyDescent="0.25">
      <c r="A1232" t="s">
        <v>1427</v>
      </c>
      <c r="B1232">
        <v>0.1</v>
      </c>
      <c r="C1232" s="13">
        <v>0</v>
      </c>
    </row>
    <row r="1233" spans="1:3" x14ac:dyDescent="0.25">
      <c r="A1233" t="s">
        <v>1428</v>
      </c>
      <c r="B1233">
        <v>0</v>
      </c>
      <c r="C1233" s="13">
        <v>0</v>
      </c>
    </row>
    <row r="1234" spans="1:3" x14ac:dyDescent="0.25">
      <c r="A1234" t="s">
        <v>1429</v>
      </c>
      <c r="B1234">
        <v>0</v>
      </c>
      <c r="C1234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AASS</vt:lpstr>
      <vt:lpstr>AASS_V0</vt:lpstr>
      <vt:lpstr>UFLS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Sanchez Maldonado</dc:creator>
  <cp:lastModifiedBy>Gonzalo Sanchez Maldonado</cp:lastModifiedBy>
  <dcterms:created xsi:type="dcterms:W3CDTF">2025-02-14T23:20:16Z</dcterms:created>
  <dcterms:modified xsi:type="dcterms:W3CDTF">2026-02-16T14:06:47Z</dcterms:modified>
</cp:coreProperties>
</file>